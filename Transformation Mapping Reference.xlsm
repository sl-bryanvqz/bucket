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namedSheetViews/namedSheetView1.xml" ContentType="application/vnd.ms-excel.namedsheetview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comments14.xml" ContentType="application/vnd.openxmlformats-officedocument.spreadsheetml.comments+xml"/>
  <Override PartName="/xl/threadedComments/threadedComment14.xml" ContentType="application/vnd.ms-excel.threadedcomments+xml"/>
  <Override PartName="/xl/comments15.xml" ContentType="application/vnd.openxmlformats-officedocument.spreadsheetml.comments+xml"/>
  <Override PartName="/xl/threadedComments/threadedComment15.xml" ContentType="application/vnd.ms-excel.threadedcomments+xml"/>
  <Override PartName="/xl/comments16.xml" ContentType="application/vnd.openxmlformats-officedocument.spreadsheetml.comments+xml"/>
  <Override PartName="/xl/threadedComments/threadedComment16.xml" ContentType="application/vnd.ms-excel.threadedcomments+xml"/>
  <Override PartName="/xl/comments17.xml" ContentType="application/vnd.openxmlformats-officedocument.spreadsheetml.comments+xml"/>
  <Override PartName="/xl/threadedComments/threadedComment17.xml" ContentType="application/vnd.ms-excel.threadedcomments+xml"/>
  <Override PartName="/xl/comments18.xml" ContentType="application/vnd.openxmlformats-officedocument.spreadsheetml.comments+xml"/>
  <Override PartName="/xl/threadedComments/threadedComment1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6"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nrfonline.sharepoint.com/teams/GLODataFabric/Shared Documents/General/Global Shared Services/Global Transition Programme/2. Architecture/1. Working Documents/Canonical Model/"/>
    </mc:Choice>
  </mc:AlternateContent>
  <xr:revisionPtr revIDLastSave="0" documentId="8_{84D6BDC5-B5F4-42C8-82DE-1D19272F2603}" xr6:coauthVersionLast="47" xr6:coauthVersionMax="47" xr10:uidLastSave="{00000000-0000-0000-0000-000000000000}"/>
  <bookViews>
    <workbookView xWindow="-13800" yWindow="-16320" windowWidth="29040" windowHeight="15720" tabRatio="944" firstSheet="37" activeTab="37" xr2:uid="{00000000-000D-0000-FFFF-FFFF00000000}"/>
  </bookViews>
  <sheets>
    <sheet name="Data Sources" sheetId="43" r:id="rId1"/>
    <sheet name="Data Products" sheetId="63" r:id="rId2"/>
    <sheet name="Sheet1" sheetId="64" state="hidden" r:id="rId3"/>
    <sheet name="Entity Mapping" sheetId="62" r:id="rId4"/>
    <sheet name="Matters to Migrate" sheetId="76" r:id="rId5"/>
    <sheet name="Clients to Migrate" sheetId="77" r:id="rId6"/>
    <sheet name="Employees to Migrate" sheetId="78" r:id="rId7"/>
    <sheet name="band_level" sheetId="53" r:id="rId8"/>
    <sheet name="bill_type" sheetId="72" r:id="rId9"/>
    <sheet name="client_programme" sheetId="75" r:id="rId10"/>
    <sheet name="client_sector" sheetId="4" r:id="rId11"/>
    <sheet name="company" sheetId="51" r:id="rId12"/>
    <sheet name="country" sheetId="9" r:id="rId13"/>
    <sheet name="currency" sheetId="55" r:id="rId14"/>
    <sheet name="employee_sub_group" sheetId="12" r:id="rId15"/>
    <sheet name="entry_classification" sheetId="71" r:id="rId16"/>
    <sheet name="global_strategic_initiative" sheetId="57" r:id="rId17"/>
    <sheet name="matter_billing_frequency" sheetId="66" r:id="rId18"/>
    <sheet name="matter_billing_method" sheetId="73" r:id="rId19"/>
    <sheet name="matter_category" sheetId="67" r:id="rId20"/>
    <sheet name="matter_entry_type" sheetId="70" r:id="rId21"/>
    <sheet name="matter_sector" sheetId="17" r:id="rId22"/>
    <sheet name="matter_status" sheetId="22" r:id="rId23"/>
    <sheet name="nature_of_proceeding" sheetId="24" r:id="rId24"/>
    <sheet name="office" sheetId="25" r:id="rId25"/>
    <sheet name="partner_function" sheetId="68" r:id="rId26"/>
    <sheet name="practice_group" sheetId="35" r:id="rId27"/>
    <sheet name="team" sheetId="39" r:id="rId28"/>
    <sheet name="transaction_document_type" sheetId="74" r:id="rId29"/>
    <sheet name="work_type" sheetId="40" r:id="rId30"/>
    <sheet name="chronometrics" sheetId="46" r:id="rId31"/>
    <sheet name="client_financials" sheetId="49" r:id="rId32"/>
    <sheet name="efi" sheetId="48" r:id="rId33"/>
    <sheet name="matter_financials" sheetId="50" r:id="rId34"/>
    <sheet name="tme" sheetId="47" r:id="rId35"/>
    <sheet name="exchange_rate" sheetId="14" r:id="rId36"/>
    <sheet name="address" sheetId="1" r:id="rId37"/>
    <sheet name="address_cmi" sheetId="83" r:id="rId38"/>
    <sheet name="client_cmi" sheetId="81" r:id="rId39"/>
    <sheet name="client_cmi (payer)" sheetId="84" r:id="rId40"/>
    <sheet name="client_partner_allocation" sheetId="65" r:id="rId41"/>
    <sheet name="client" sheetId="3" r:id="rId42"/>
    <sheet name="cost_centre" sheetId="8" r:id="rId43"/>
    <sheet name="matter" sheetId="60" r:id="rId44"/>
    <sheet name="matter_key_initiative" sheetId="69" r:id="rId45"/>
    <sheet name="matter_partner_allocation" sheetId="61" r:id="rId46"/>
    <sheet name="matter_party" sheetId="80" r:id="rId47"/>
    <sheet name="person_relationship" sheetId="32" r:id="rId48"/>
    <sheet name="matter_relationship" sheetId="45" r:id="rId49"/>
    <sheet name="person" sheetId="28" r:id="rId50"/>
    <sheet name="person_rate" sheetId="82" r:id="rId51"/>
    <sheet name="walls_user_security" sheetId="79" r:id="rId52"/>
    <sheet name="matter_office" sheetId="18" r:id="rId53"/>
    <sheet name="address_type" sheetId="2" r:id="rId54"/>
    <sheet name="band_group" sheetId="54" r:id="rId55"/>
    <sheet name="client_matter_billing" sheetId="5" r:id="rId56"/>
    <sheet name="client_relationship" sheetId="44" r:id="rId57"/>
    <sheet name="client_matter_sic_relationship" sheetId="59" r:id="rId58"/>
    <sheet name="client_member_firm" sheetId="6" r:id="rId59"/>
    <sheet name="client_status" sheetId="7" r:id="rId60"/>
    <sheet name="email" sheetId="10" r:id="rId61"/>
    <sheet name="email_type" sheetId="11" r:id="rId62"/>
    <sheet name="employee_group" sheetId="52" r:id="rId63"/>
    <sheet name="entity_type" sheetId="13" r:id="rId64"/>
    <sheet name="group" sheetId="15" r:id="rId65"/>
    <sheet name="language" sheetId="56" r:id="rId66"/>
    <sheet name="matter_partner" sheetId="19" r:id="rId67"/>
    <sheet name="matter_phase_set" sheetId="20" r:id="rId68"/>
    <sheet name="matter_related_party" sheetId="21" r:id="rId69"/>
    <sheet name="member_firm" sheetId="23" r:id="rId70"/>
    <sheet name="office_member_firm" sheetId="26" r:id="rId71"/>
    <sheet name="org_category" sheetId="27" r:id="rId72"/>
    <sheet name="person_assignment" sheetId="29" r:id="rId73"/>
    <sheet name="person_cost_centre" sheetId="30" r:id="rId74"/>
    <sheet name="person_locale" sheetId="31" r:id="rId75"/>
    <sheet name="person_system_map" sheetId="33" r:id="rId76"/>
    <sheet name="phone" sheetId="34" r:id="rId77"/>
    <sheet name="related_party" sheetId="36" r:id="rId78"/>
    <sheet name="relationship_type" sheetId="37" r:id="rId79"/>
    <sheet name="team_practice_group_relationshi" sheetId="58" r:id="rId80"/>
    <sheet name="sub_team" sheetId="38" r:id="rId81"/>
  </sheets>
  <definedNames>
    <definedName name="_xlnm._FilterDatabase" localSheetId="41" hidden="1">client!$A$1:$R$45</definedName>
    <definedName name="_xlnm._FilterDatabase" localSheetId="38" hidden="1">client_cmi!$A$2:$AA$45</definedName>
    <definedName name="_xlnm._FilterDatabase" localSheetId="39" hidden="1">'client_cmi (payer)'!$A$2:$AA$45</definedName>
    <definedName name="_xlnm._FilterDatabase" localSheetId="3" hidden="1">'Entity Mapping'!$A$3:$L$64</definedName>
    <definedName name="_xlnm._FilterDatabase" localSheetId="43" hidden="1">matter!$A$2:$P$66</definedName>
    <definedName name="_xlnm._FilterDatabase" localSheetId="49" hidden="1">person!$A$2:$T$2</definedName>
  </definedNames>
  <calcPr calcId="191028"/>
  <pivotCaches>
    <pivotCache cacheId="163" r:id="rId8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83" l="1"/>
  <c r="Q6" i="83"/>
  <c r="M46" i="14"/>
  <c r="N46" i="14" s="1"/>
  <c r="M25" i="49"/>
  <c r="N25" i="49" s="1"/>
  <c r="M88" i="46"/>
  <c r="N88" i="46" s="1"/>
  <c r="O17" i="57"/>
  <c r="P17" i="57" s="1"/>
  <c r="O18" i="75"/>
  <c r="P18" i="75" s="1"/>
  <c r="Q6" i="1"/>
  <c r="Q5" i="1"/>
  <c r="Q9" i="25"/>
  <c r="S4" i="28"/>
  <c r="S5" i="28"/>
  <c r="S7" i="28"/>
  <c r="S8" i="28"/>
  <c r="S9" i="28"/>
  <c r="S10" i="28"/>
  <c r="S11" i="28"/>
  <c r="S12" i="28"/>
  <c r="S13" i="28"/>
  <c r="S14" i="28"/>
  <c r="S15" i="28"/>
  <c r="S16" i="28"/>
  <c r="S17" i="28"/>
  <c r="S18" i="28"/>
  <c r="S19" i="28"/>
  <c r="S20" i="28"/>
  <c r="S21" i="28"/>
  <c r="S22" i="28"/>
  <c r="S23" i="28"/>
  <c r="S24" i="28"/>
  <c r="S25" i="28"/>
  <c r="S26" i="28"/>
  <c r="S27" i="28"/>
  <c r="S28" i="28"/>
  <c r="S29" i="28"/>
  <c r="S30" i="28"/>
  <c r="S31" i="28"/>
  <c r="S32" i="28"/>
  <c r="S33" i="28"/>
  <c r="S34" i="28"/>
  <c r="S35" i="28"/>
  <c r="S36" i="28"/>
  <c r="S38" i="28"/>
  <c r="S40" i="28"/>
  <c r="S41" i="28"/>
  <c r="S44" i="28"/>
  <c r="S43" i="28"/>
  <c r="S3"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tc={01288E2E-E5DC-4E9E-9DDF-68FC4B14F678}</author>
  </authors>
  <commentList>
    <comment ref="O3" authorId="0" shapeId="0" xr:uid="{01288E2E-E5DC-4E9E-9DDF-68FC4B14F678}">
      <text>
        <t>[Threaded comment]
Your version of Excel allows you to read this threaded comment; however, any edits to it will get removed if the file is opened in a newer version of Excel. Learn more: https://go.microsoft.com/fwlink/?linkid=870924
Comment:
    generally best practice is the PK name matches the table name with _key at the end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tc={49025012-8837-432A-A520-081D5A7D0B84}</author>
  </authors>
  <commentList>
    <comment ref="O3" authorId="0" shapeId="0" xr:uid="{49025012-8837-432A-A520-081D5A7D0B84}">
      <text>
        <t>[Threaded comment]
Your version of Excel allows you to read this threaded comment; however, any edits to it will get removed if the file is opened in a newer version of Excel. Learn more: https://go.microsoft.com/fwlink/?linkid=870924
Comment:
    generally best practice is the PK name matches the table name with _key at the end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tc={27425226-4D2E-486C-8F7D-66F7CF3FFF9C}</author>
  </authors>
  <commentList>
    <comment ref="O3" authorId="0" shapeId="0" xr:uid="{27425226-4D2E-486C-8F7D-66F7CF3FFF9C}">
      <text>
        <t>[Threaded comment]
Your version of Excel allows you to read this threaded comment; however, any edits to it will get removed if the file is opened in a newer version of Excel. Learn more: https://go.microsoft.com/fwlink/?linkid=870924
Comment:
    generally best practice is the PK name matches the table name with _key at the end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tc={07B54DFB-7AC5-4929-BBED-347E041F01EE}</author>
  </authors>
  <commentList>
    <comment ref="O6" authorId="0" shapeId="0" xr:uid="{07B54DFB-7AC5-4929-BBED-347E041F01EE}">
      <text>
        <t>[Threaded comment]
Your version of Excel allows you to read this threaded comment; however, any edits to it will get removed if the file is opened in a newer version of Excel. Learn more: https://go.microsoft.com/fwlink/?linkid=870924
Comment:
    not a foreign key to another gold table, only to silver mds table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tc={ABC6368E-5AE1-4DC5-8762-8FD3FFDD4C74}</author>
  </authors>
  <commentList>
    <comment ref="A1" authorId="0" shapeId="0" xr:uid="{ABC6368E-5AE1-4DC5-8762-8FD3FFDD4C74}">
      <text>
        <t>[Threaded comment]
Your version of Excel allows you to read this threaded comment; however, any edits to it will get removed if the file is opened in a newer version of Excel. Learn more: https://go.microsoft.com/fwlink/?linkid=870924
Comment:
    rename to just partner_function?</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tc={9C88CC5B-0DDC-4E6F-A4AA-CC19ED00895C}</author>
  </authors>
  <commentList>
    <comment ref="M3" authorId="0" shapeId="0" xr:uid="{9C88CC5B-0DDC-4E6F-A4AA-CC19ED00895C}">
      <text>
        <t>[Threaded comment]
Your version of Excel allows you to read this threaded comment; however, any edits to it will get removed if the file is opened in a newer version of Excel. Learn more: https://go.microsoft.com/fwlink/?linkid=870924
Comment:
    what would it join to?</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tc={B095FD7D-8566-44B7-AD2C-27B270BF0696}</author>
  </authors>
  <commentList>
    <comment ref="M4" authorId="0" shapeId="0" xr:uid="{B095FD7D-8566-44B7-AD2C-27B270BF0696}">
      <text>
        <t>[Threaded comment]
Your version of Excel allows you to read this threaded comment; however, any edits to it will get removed if the file is opened in a newer version of Excel. Learn more: https://go.microsoft.com/fwlink/?linkid=870924
Comment:
     which column from person would it join to? is it system_employee_code?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tc={CDA5B01D-BFBE-461E-AACD-C89F852AE9BD}</author>
  </authors>
  <commentList>
    <comment ref="A59" authorId="0" shapeId="0" xr:uid="{CDA5B01D-BFBE-461E-AACD-C89F852AE9BD}">
      <text>
        <t>[Threaded comment]
Your version of Excel allows you to read this threaded comment; however, any edits to it will get removed if the file is opened in a newer version of Excel. Learn more: https://go.microsoft.com/fwlink/?linkid=870924
Comment:
    Shall we add a rate_type_description column to this table, or create a reference table in the exchange_rate model to hold the descriptions?
Reply:
    no need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tc={3D06F51C-8FFD-41F2-9937-7D38B88DAA04}</author>
    <author>tc={405586CB-AF17-4A3B-A79E-FF137CE49432}</author>
  </authors>
  <commentList>
    <comment ref="A1" authorId="0" shapeId="0" xr:uid="{3D06F51C-8FFD-41F2-9937-7D38B88DAA04}">
      <text>
        <t>[Threaded comment]
Your version of Excel allows you to read this threaded comment; however, any edits to it will get removed if the file is opened in a newer version of Excel. Learn more: https://go.microsoft.com/fwlink/?linkid=870924
Comment:
    rename table to client_address??</t>
      </text>
    </comment>
    <comment ref="F4" authorId="1" shapeId="0" xr:uid="{405586CB-AF17-4A3B-A79E-FF137CE49432}">
      <text>
        <t>[Threaded comment]
Your version of Excel allows you to read this threaded comment; however, any edits to it will get removed if the file is opened in a newer version of Excel. Learn more: https://go.microsoft.com/fwlink/?linkid=870924
Comment:
    Use SourceSystemID instead?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tc={62226C96-2379-4830-B836-FAF362FDBBAC}</author>
  </authors>
  <commentList>
    <comment ref="F4" authorId="0" shapeId="0" xr:uid="{62226C96-2379-4830-B836-FAF362FDBBAC}">
      <text>
        <t>[Threaded comment]
Your version of Excel allows you to read this threaded comment; however, any edits to it will get removed if the file is opened in a newer version of Excel. Learn more: https://go.microsoft.com/fwlink/?linkid=870924
Comment:
    Use SourceSystemID instead?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tc={3E404278-E68B-43B5-8311-7DAA6D126202}</author>
    <author>tc={541D43CD-A025-4BD3-B877-03BE0FAE20D1}</author>
    <author>tc={17C2A7D8-8A3F-4D87-B358-A408E9895777}</author>
    <author>tc={EE2EC668-5A6C-46C4-B7E1-A1F17DB30F30}</author>
  </authors>
  <commentList>
    <comment ref="A16" authorId="0" shapeId="0" xr:uid="{3E404278-E68B-43B5-8311-7DAA6D126202}">
      <text>
        <t>[Threaded comment]
Your version of Excel allows you to read this threaded comment; however, any edits to it will get removed if the file is opened in a newer version of Excel. Learn more: https://go.microsoft.com/fwlink/?linkid=870924
Comment:
    merge onto matter_office</t>
      </text>
    </comment>
    <comment ref="E18" authorId="1" shapeId="0" xr:uid="{541D43CD-A025-4BD3-B877-03BE0FAE20D1}">
      <text>
        <t>[Threaded comment]
Your version of Excel allows you to read this threaded comment; however, any edits to it will get removed if the file is opened in a newer version of Excel. Learn more: https://go.microsoft.com/fwlink/?linkid=870924
Comment:
    use mds or gmdr as data source?
Reply:
    mds
Reply:
    either mds data SAPCode will need to be updated or mapping logic to be hardcoded
Reply:
    DD to populate the SAPCode in MDS</t>
      </text>
    </comment>
    <comment ref="A43" authorId="2" shapeId="0" xr:uid="{17C2A7D8-8A3F-4D87-B358-A408E9895777}">
      <text>
        <t>[Threaded comment]
Your version of Excel allows you to read this threaded comment; however, any edits to it will get removed if the file is opened in a newer version of Excel. Learn more: https://go.microsoft.com/fwlink/?linkid=870924
Comment:
    added this for GBIZ</t>
      </text>
    </comment>
    <comment ref="E56" authorId="3" shapeId="0" xr:uid="{EE2EC668-5A6C-46C4-B7E1-A1F17DB30F30}">
      <text>
        <t>[Threaded comment]
Your version of Excel allows you to read this threaded comment; however, any edits to it will get removed if the file is opened in a newer version of Excel. Learn more: https://go.microsoft.com/fwlink/?linkid=870924
Comment:
    us gmdr or mds as source?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tc={F4929088-F9CF-43E0-9D7D-9FCAA8DFFEF7}</author>
  </authors>
  <commentList>
    <comment ref="A4" authorId="0" shapeId="0" xr:uid="{F4929088-F9CF-43E0-9D7D-9FCAA8DFFEF7}">
      <text>
        <t>[Threaded comment]
Your version of Excel allows you to read this threaded comment; however, any edits to it will get removed if the file is opened in a newer version of Excel. Learn more: https://go.microsoft.com/fwlink/?linkid=870924
Comment:
    rename to person_number?</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tc={D8FCF308-7034-4938-8575-34C17DF43439}</author>
  </authors>
  <commentList>
    <comment ref="A29" authorId="0" shapeId="0" xr:uid="{D8FCF308-7034-4938-8575-34C17DF43439}">
      <text>
        <t>[Threaded comment]
Your version of Excel allows you to read this threaded comment; however, any edits to it will get removed if the file is opened in a newer version of Excel. Learn more: https://go.microsoft.com/fwlink/?linkid=870924
Comment:
    This logic is now on person. use person.person_record_rank = 1</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tc={0592971B-ED64-4D8A-8F27-CAAF95657075}</author>
  </authors>
  <commentList>
    <comment ref="C6" authorId="0" shapeId="0" xr:uid="{0592971B-ED64-4D8A-8F27-CAAF95657075}">
      <text>
        <t>[Threaded comment]
Your version of Excel allows you to read this threaded comment; however, any edits to it will get removed if the file is opened in a newer version of Excel. Learn more: https://go.microsoft.com/fwlink/?linkid=870924
Comment:
    mds_matter or mds_matteroffice? The values are differnet</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tc={C533E4F6-37EC-4A8B-A9EB-3566BE44ED38}</author>
  </authors>
  <commentList>
    <comment ref="A17" authorId="0" shapeId="0" xr:uid="{C533E4F6-37EC-4A8B-A9EB-3566BE44ED38}">
      <text>
        <t>[Threaded comment]
Your version of Excel allows you to read this threaded comment; however, any edits to it will get removed if the file is opened in a newer version of Excel. Learn more: https://go.microsoft.com/fwlink/?linkid=870924
Comment:
    this is the data on the client to matter sic mapping taxonomy sheet. Not sure if it is actually required to be table in canonical model as it can probably be obtained by joining client to matter anyway. 
Reply:
    It is needed as a taxonomy to tell the Regions the allowed joins</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tc={D242E794-182E-42B8-A0BF-AE6BDD201214}</author>
  </authors>
  <commentList>
    <comment ref="A19" authorId="0" shapeId="0" xr:uid="{D242E794-182E-42B8-A0BF-AE6BDD201214}">
      <text>
        <t>[Threaded comment]
Your version of Excel allows you to read this threaded comment; however, any edits to it will get removed if the file is opened in a newer version of Excel. Learn more: https://go.microsoft.com/fwlink/?linkid=870924
Comment:
    seems to be on employeesubgroup</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tc={2AFEC94F-F6BD-42C5-AF93-901C3575E759}</author>
  </authors>
  <commentList>
    <comment ref="M17" authorId="0" shapeId="0" xr:uid="{2AFEC94F-F6BD-42C5-AF93-901C3575E759}">
      <text>
        <t>[Threaded comment]
Your version of Excel allows you to read this threaded comment; however, any edits to it will get removed if the file is opened in a newer version of Excel. Learn more: https://go.microsoft.com/fwlink/?linkid=870924
Comment:
    this is on person so not needed here</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tc={7F06A0AB-D43A-4EBE-9BA7-F42F34CA0A52}</author>
  </authors>
  <commentList>
    <comment ref="A10" authorId="0" shapeId="0" xr:uid="{7F06A0AB-D43A-4EBE-9BA7-F42F34CA0A52}">
      <text>
        <t>[Threaded comment]
Your version of Excel allows you to read this threaded comment; however, any edits to it will get removed if the file is opened in a newer version of Excel. Learn more: https://go.microsoft.com/fwlink/?linkid=870924
Comment:
    is this column needed?</t>
      </text>
    </comment>
  </commentList>
</comments>
</file>

<file path=xl/sharedStrings.xml><?xml version="1.0" encoding="utf-8"?>
<sst xmlns="http://schemas.openxmlformats.org/spreadsheetml/2006/main" count="14542" uniqueCount="3698">
  <si>
    <t>Data Sources</t>
  </si>
  <si>
    <t>Name</t>
  </si>
  <si>
    <t>ShortName</t>
  </si>
  <si>
    <t>Description</t>
  </si>
  <si>
    <t>Source Type</t>
  </si>
  <si>
    <t>Owner</t>
  </si>
  <si>
    <t>Environment</t>
  </si>
  <si>
    <t>Connection String</t>
  </si>
  <si>
    <t>Username</t>
  </si>
  <si>
    <t>Secret Name</t>
  </si>
  <si>
    <t>Comments</t>
  </si>
  <si>
    <t>MDS</t>
  </si>
  <si>
    <t>mds</t>
  </si>
  <si>
    <t>The MDS database that contains master data about all NRF clients</t>
  </si>
  <si>
    <t>SQL Server</t>
  </si>
  <si>
    <t>QA2</t>
  </si>
  <si>
    <t>T_SQL_AG_MDS02v.ad.adsinternal.com;MDS</t>
  </si>
  <si>
    <t>AD\\svcgloqa2dataprogram</t>
  </si>
  <si>
    <t>SecretTo-SourceMdsServiceAccount</t>
  </si>
  <si>
    <t>Connection via Service Account</t>
  </si>
  <si>
    <t>Taxonomy</t>
  </si>
  <si>
    <t>taxonomy</t>
  </si>
  <si>
    <t>The Taxonomy SharePoint data that contains mastered lookup data</t>
  </si>
  <si>
    <t>SharePoint File</t>
  </si>
  <si>
    <t>Gary Barden</t>
  </si>
  <si>
    <t>https://nrfonline.sharepoint.com/sites/TaxonomyDatabase/</t>
  </si>
  <si>
    <t>218aa4db-f0ef-47bd-acae-db21452cc951</t>
  </si>
  <si>
    <t>SecretTo-TaxonomyClientAccountSecret</t>
  </si>
  <si>
    <t>Connection via Service Principal</t>
  </si>
  <si>
    <t>Budget</t>
  </si>
  <si>
    <t>budget</t>
  </si>
  <si>
    <t>The Budget SharePoint data that contains budgeted fx rates</t>
  </si>
  <si>
    <t>Oanda</t>
  </si>
  <si>
    <t>oanda</t>
  </si>
  <si>
    <t>The Oanda API that contains currency exchange rates</t>
  </si>
  <si>
    <t>API</t>
  </si>
  <si>
    <t>https://exchange-rates-api.oanda.com/v1/rates/</t>
  </si>
  <si>
    <t>KeyTo-Oanda</t>
  </si>
  <si>
    <t>Connection via API key</t>
  </si>
  <si>
    <t>GMDR</t>
  </si>
  <si>
    <t>gmdr</t>
  </si>
  <si>
    <t>The GMDR database that contains mastered data about all NRF clients from SAP</t>
  </si>
  <si>
    <t>T_SQL_AG_GMD03v.ad.adsinternal.com;GMDR</t>
  </si>
  <si>
    <t>SecretTo-SourceGmdrServiceAccount</t>
  </si>
  <si>
    <t>CMIDB</t>
  </si>
  <si>
    <t>cmidb</t>
  </si>
  <si>
    <t>The CMI database that contains the original source of NRF clients and matters</t>
  </si>
  <si>
    <t>QA2
PROD</t>
  </si>
  <si>
    <t>T_SQL_AG_INT02v.ad.adsinternal.com;IntAppOpenTest_QA2</t>
  </si>
  <si>
    <t>AD\\svcgloqa2dataprogram
svcgloproddatamds01</t>
  </si>
  <si>
    <t>SecretTo-SourceCmiDbServiceAccount</t>
  </si>
  <si>
    <t>Wallbuilder</t>
  </si>
  <si>
    <t>wallbuilder</t>
  </si>
  <si>
    <t>The Wallbuilder database</t>
  </si>
  <si>
    <t>T_SQL_AG_EB02.ad.adsinternal.com,50005;WB_GLOBAL_GE</t>
  </si>
  <si>
    <t>SecretTo-SourceWallBuilderServiceAccount</t>
  </si>
  <si>
    <t>Data Load Logic</t>
  </si>
  <si>
    <t>SDGR: For Canonical Model load we only want OPEN Matters and ACTIVE Clients PLUS CLOSED Matters and their associated Clients where the Matter was Closed On or After 01-Apr-2020. We want ALL Employee Records.</t>
  </si>
  <si>
    <t>SDGR: Talk to all downstream owners to confirm</t>
  </si>
  <si>
    <t>Data Products</t>
  </si>
  <si>
    <t>canonical_data_model</t>
  </si>
  <si>
    <t>Containing data from MDS, GMDR, CMI and Wallbuilder</t>
  </si>
  <si>
    <t>transactional_data_model</t>
  </si>
  <si>
    <t>Containing data from regions (future)</t>
  </si>
  <si>
    <t>exchange_rate_data_model</t>
  </si>
  <si>
    <t>Containing data from Oanda, MDS and Budget</t>
  </si>
  <si>
    <t>taxonomy_data_model</t>
  </si>
  <si>
    <t>Containing data from SharePoint and MDS</t>
  </si>
  <si>
    <t>Count of Target Entity</t>
  </si>
  <si>
    <t>Data Product</t>
  </si>
  <si>
    <t>Status 2</t>
  </si>
  <si>
    <t>(blank)</t>
  </si>
  <si>
    <t>Grand Total</t>
  </si>
  <si>
    <t>D</t>
  </si>
  <si>
    <t>N</t>
  </si>
  <si>
    <t>U</t>
  </si>
  <si>
    <t>X</t>
  </si>
  <si>
    <t>Entity Level Mapping</t>
  </si>
  <si>
    <t>Transactional</t>
  </si>
  <si>
    <t>Exchange Rate</t>
  </si>
  <si>
    <t>Canonical Model</t>
  </si>
  <si>
    <t>Query</t>
  </si>
  <si>
    <t>Drop from Model</t>
  </si>
  <si>
    <t>Target Entity</t>
  </si>
  <si>
    <t>Type</t>
  </si>
  <si>
    <t>Source System</t>
  </si>
  <si>
    <t>Source Entity</t>
  </si>
  <si>
    <t>Status</t>
  </si>
  <si>
    <t>Relationships</t>
  </si>
  <si>
    <t>Built in Phase 1</t>
  </si>
  <si>
    <t>Notes</t>
  </si>
  <si>
    <t>STTM Required changes</t>
  </si>
  <si>
    <t>STTM Updates Estimate (hours)</t>
  </si>
  <si>
    <t>address</t>
  </si>
  <si>
    <t>dimension</t>
  </si>
  <si>
    <t>mds_address</t>
  </si>
  <si>
    <t>Done</t>
  </si>
  <si>
    <t>client
address_type
country</t>
  </si>
  <si>
    <t>Y</t>
  </si>
  <si>
    <t>- remove join to address_type and country
- remove columns
- relabel column</t>
  </si>
  <si>
    <t>address_type</t>
  </si>
  <si>
    <t>mds_addresstype</t>
  </si>
  <si>
    <t>Removed</t>
  </si>
  <si>
    <t>- Drop from model</t>
  </si>
  <si>
    <t>band_group</t>
  </si>
  <si>
    <t>taxonomy_band_groups</t>
  </si>
  <si>
    <t>- remove last_updated_date
- remove join to language</t>
  </si>
  <si>
    <t>band_level</t>
  </si>
  <si>
    <t>taxonomy_band_levels</t>
  </si>
  <si>
    <t>band_group (taxonomy)</t>
  </si>
  <si>
    <t>bill_type</t>
  </si>
  <si>
    <t>taxonomy_bill_type</t>
  </si>
  <si>
    <t>chronometrics</t>
  </si>
  <si>
    <t>Internal Excel Upload</t>
  </si>
  <si>
    <t>ChronoMetrics Sample</t>
  </si>
  <si>
    <t>Waiting for NRF updates</t>
  </si>
  <si>
    <t>client
matter
company (taxonomy)
currency (taxonomy)
office (taxonomy)
practice_group (taxonomy)
team (taxonomy)
employee_group (taxonomy)
employee_sub_group (taxonomy)
band_group (taxonomy)
band_level (taxonomy)</t>
  </si>
  <si>
    <t>- update columns to use consistent naming convention
- update business keys
- foreign key to person</t>
  </si>
  <si>
    <t>client</t>
  </si>
  <si>
    <t>mds
gmdr
cmidb</t>
  </si>
  <si>
    <t>mds_client
gmdr_sap_kna1
cmidb_clients</t>
  </si>
  <si>
    <t>member_firm
office (taxonomy)
person
client_status
client
team (taxonomy)
practice_group (taxonomy)</t>
  </si>
  <si>
    <t>- remove columns
- relabel columns
- update join from person to partner</t>
  </si>
  <si>
    <t>client_financials</t>
  </si>
  <si>
    <t>_NRF_ClientFinancials</t>
  </si>
  <si>
    <t>client
currency (taxonomy)</t>
  </si>
  <si>
    <t>- update columns to use consistent naming convention
- update business keys</t>
  </si>
  <si>
    <t>client_matter_billing</t>
  </si>
  <si>
    <t>mds_clientmatterbillings</t>
  </si>
  <si>
    <t>client
matter
currency (taxonomy)</t>
  </si>
  <si>
    <t>client_matter_sic_relationship</t>
  </si>
  <si>
    <t>taxonomy_client_sic_to_matter_sic</t>
  </si>
  <si>
    <t>client_sector (taxonomy)
matter_sector (taxonomy)</t>
  </si>
  <si>
    <t>- remove last_updated_date</t>
  </si>
  <si>
    <t>client_member_firm</t>
  </si>
  <si>
    <t>mds_clientmemberfirm</t>
  </si>
  <si>
    <t>client
member_firm
company (taxonomy)</t>
  </si>
  <si>
    <t>client_relationship</t>
  </si>
  <si>
    <t>mds_client</t>
  </si>
  <si>
    <t>Check if still required</t>
  </si>
  <si>
    <t>client_sector</t>
  </si>
  <si>
    <t>taxonomy_client_sector_ibg_sic</t>
  </si>
  <si>
    <t>- change table name 
- update columns names
- update business keys
- remove last_updated_date
- remove join to language</t>
  </si>
  <si>
    <t>client_status</t>
  </si>
  <si>
    <t>mds_clientstatus</t>
  </si>
  <si>
    <t>member_firm</t>
  </si>
  <si>
    <t>company</t>
  </si>
  <si>
    <t>taxonomy_legal_entities_company_codes</t>
  </si>
  <si>
    <t>- remove last_updated_date
- remove joins to language, country, currency, member_firm</t>
  </si>
  <si>
    <t>cost_centre</t>
  </si>
  <si>
    <t>mds_costcenter</t>
  </si>
  <si>
    <t>company (taxonomy)
currency (taxonomy)</t>
  </si>
  <si>
    <t>rename costcenter to cost_centre
make sure columns are using "centre" instead of "center"</t>
  </si>
  <si>
    <t>- remove columns
- remove join to currency
- relabel columns</t>
  </si>
  <si>
    <t>country</t>
  </si>
  <si>
    <t>taxonomy_countries</t>
  </si>
  <si>
    <t>language (taxonomy)</t>
  </si>
  <si>
    <t>- remove last_updated_date
- remove joins to language, currency</t>
  </si>
  <si>
    <t>currency</t>
  </si>
  <si>
    <t>taxonomy_currencies</t>
  </si>
  <si>
    <t>efi</t>
  </si>
  <si>
    <t>EFI Sample</t>
  </si>
  <si>
    <t>company (taxonomy)
cost_centre
practice_group (taxonomy)
office (taxonomy)
team (taxonomy)
matter
currency (taxonomy)</t>
  </si>
  <si>
    <t>email</t>
  </si>
  <si>
    <t>mds_email</t>
  </si>
  <si>
    <t>email_type
person</t>
  </si>
  <si>
    <t>email_type</t>
  </si>
  <si>
    <t>mds_emailtype</t>
  </si>
  <si>
    <t>employee_group</t>
  </si>
  <si>
    <t>taxonomy_employee_groups</t>
  </si>
  <si>
    <t>employee_sub_group</t>
  </si>
  <si>
    <t>taxonomy_employee_subgroups</t>
  </si>
  <si>
    <t>- remove last_updated_date
- employee group merged in
- remove joins to empolyee_group, language</t>
  </si>
  <si>
    <t>entity_type</t>
  </si>
  <si>
    <t>mds_entitytype</t>
  </si>
  <si>
    <t>entry_classification</t>
  </si>
  <si>
    <t>taxonomy_entry_classifcation</t>
  </si>
  <si>
    <t>exchange_rate</t>
  </si>
  <si>
    <t>mds
oanda</t>
  </si>
  <si>
    <t>mds_exchangerates
oanda_fx_rates_usd
oanda_fx_rates_usd_last_month_avg</t>
  </si>
  <si>
    <t>currency (taxonomy)</t>
  </si>
  <si>
    <t>- use currency code instead of surrogate keys
- consistent columns names
- Clean up of rate_type values</t>
  </si>
  <si>
    <t>global_strategic_initiative</t>
  </si>
  <si>
    <t>taxonomy_global_strategic_intiatives</t>
  </si>
  <si>
    <t>group</t>
  </si>
  <si>
    <t>mds_group</t>
  </si>
  <si>
    <t>member_firm
entity_type
person
org_category</t>
  </si>
  <si>
    <t>language</t>
  </si>
  <si>
    <t>taxonomy_languages</t>
  </si>
  <si>
    <t>matter</t>
  </si>
  <si>
    <t>mds
gmdr
cmidb
wallbuilder</t>
  </si>
  <si>
    <t>mds_matter
cmidb_work
gmdr_sap_proj</t>
  </si>
  <si>
    <t>- remove columns
- relabel columns
- new reference table joins</t>
  </si>
  <si>
    <t>matter_billing_frequency</t>
  </si>
  <si>
    <t>taxonomy_matter_billing_frequency</t>
  </si>
  <si>
    <t>New reference table required by matter</t>
  </si>
  <si>
    <t>matter_billing_method</t>
  </si>
  <si>
    <t>taxonomy_matter_billing_method</t>
  </si>
  <si>
    <t>matter_category</t>
  </si>
  <si>
    <t>taxonomy_matter_category</t>
  </si>
  <si>
    <t>matter_entry_type</t>
  </si>
  <si>
    <t>gmdr_sap_proj</t>
  </si>
  <si>
    <t>matter_financials</t>
  </si>
  <si>
    <t>_NRF_MatterFinancials</t>
  </si>
  <si>
    <t>matter
client
currency (taxonomy)</t>
  </si>
  <si>
    <t>matter_office</t>
  </si>
  <si>
    <t>mds_matteroffice</t>
  </si>
  <si>
    <t>matter
office (taxonomy)
matter_status
company (taxonomy)
member_firm</t>
  </si>
  <si>
    <t>- remove columns
- update business keys
- relabel columns</t>
  </si>
  <si>
    <t>matter_partner</t>
  </si>
  <si>
    <t>gmdr_sap_ihpa</t>
  </si>
  <si>
    <t>- remove columns
- relabel columns</t>
  </si>
  <si>
    <t>matter_partner_allocation</t>
  </si>
  <si>
    <t>gmdr_sap_zprs_tkalocmattr</t>
  </si>
  <si>
    <t>matter
person
office (taxonomy)
team (taxonomy)</t>
  </si>
  <si>
    <t>- new table, needs review</t>
  </si>
  <si>
    <t>matter_partner_function</t>
  </si>
  <si>
    <t>taxonomy_matter_partner_function</t>
  </si>
  <si>
    <t>New reference table required by matter_partner</t>
  </si>
  <si>
    <t>matter_phase_set</t>
  </si>
  <si>
    <t>gmdr_sap_zprs_mat_ph_set</t>
  </si>
  <si>
    <t>- potentially dropped and added to matter</t>
  </si>
  <si>
    <t>matter_related_party</t>
  </si>
  <si>
    <t>cmidb_partytoworkrelationships</t>
  </si>
  <si>
    <t>matter
related_party</t>
  </si>
  <si>
    <t>matter_relationship</t>
  </si>
  <si>
    <t>matter_sector</t>
  </si>
  <si>
    <t>taxonomy_matter_sector_ibg_sind</t>
  </si>
  <si>
    <t>matter_status</t>
  </si>
  <si>
    <t>taxonomy_matter_status</t>
  </si>
  <si>
    <t>New taxonomy source required</t>
  </si>
  <si>
    <t>- new taxonomy source
- update columns names
- remove_last_updated_date</t>
  </si>
  <si>
    <t>mds_memberfirm</t>
  </si>
  <si>
    <t>nature_of_proceeding</t>
  </si>
  <si>
    <t>taxonomy_matter_nature_of_proceeding</t>
  </si>
  <si>
    <t>- remove last_updated_date
- remove join to language
- update business keys</t>
  </si>
  <si>
    <t>office</t>
  </si>
  <si>
    <t>mds
taxonomy</t>
  </si>
  <si>
    <t>mds_office
taxonomy_offices</t>
  </si>
  <si>
    <t>member_firm
entity_type
language (taxonomy)
country (taxonomy)
company (taxonomy)</t>
  </si>
  <si>
    <t>New taxonomy fields required</t>
  </si>
  <si>
    <t>- remove columns
- update source of columns to new taxonomy fields
- remove last_updated_date</t>
  </si>
  <si>
    <t>office_member_firm</t>
  </si>
  <si>
    <t>mds_officememberfirm</t>
  </si>
  <si>
    <t>office
member_firm
country (taxonomy)
company (taxonomy)</t>
  </si>
  <si>
    <t>org_category</t>
  </si>
  <si>
    <t>mds_orgcategory</t>
  </si>
  <si>
    <t>person</t>
  </si>
  <si>
    <t>mds
gmdr</t>
  </si>
  <si>
    <t>mds_person
gmdr_sap_pa9007</t>
  </si>
  <si>
    <t>member_firm
sub_team
practice_group (taxonomy)
band_group (taxonomy)</t>
  </si>
  <si>
    <t>- Add fields from person_locale, person_system_map
- potentially add fields from phone and person_cost_centre</t>
  </si>
  <si>
    <t>person_assignment</t>
  </si>
  <si>
    <t>mds_person
gmdr_sap_pa0001
gmdr_sap_pa9007</t>
  </si>
  <si>
    <t>person
cost_centre
practice_group (taxonomy)
company (taxonomy)
employee_group (taxonomy)
employee_sub_group (taxonomy)
band_group (taxonomy)
band_level (taxonomy)</t>
  </si>
  <si>
    <t>person_cost_centre</t>
  </si>
  <si>
    <t>mds_personcostcentre</t>
  </si>
  <si>
    <t>person
cost_centre</t>
  </si>
  <si>
    <t>person_locale</t>
  </si>
  <si>
    <t>mds_personlocale</t>
  </si>
  <si>
    <t>person
member_firm
phone
office (taxonomy)</t>
  </si>
  <si>
    <t>person_relationship</t>
  </si>
  <si>
    <t>mds_personrelationship</t>
  </si>
  <si>
    <t>person
relationship_type</t>
  </si>
  <si>
    <t>- additional columns
- update business keys
- relabel columns</t>
  </si>
  <si>
    <t>person_system_map</t>
  </si>
  <si>
    <t>mds_personsystemmap</t>
  </si>
  <si>
    <t>person
member_firm</t>
  </si>
  <si>
    <t>phone</t>
  </si>
  <si>
    <t>mds_phone</t>
  </si>
  <si>
    <t>practice_group</t>
  </si>
  <si>
    <t>taxonomy_practice_groups</t>
  </si>
  <si>
    <t>related_party</t>
  </si>
  <si>
    <t>cmidb_parties</t>
  </si>
  <si>
    <t>country (taxonomy)</t>
  </si>
  <si>
    <t>relationship_type</t>
  </si>
  <si>
    <t>mds_relationshiptype</t>
  </si>
  <si>
    <t>sub_team</t>
  </si>
  <si>
    <t>mds_subteam</t>
  </si>
  <si>
    <t>member_firm
team (taxonomy)
org_category
person</t>
  </si>
  <si>
    <t>New taxonomy source required if required by CV</t>
  </si>
  <si>
    <t>team</t>
  </si>
  <si>
    <t>mds_team
taxonomy_teams</t>
  </si>
  <si>
    <t>member_firm
entity_type
group
org_category
person
practice_group (taxonomy)
language (taxonomy)</t>
  </si>
  <si>
    <t>- remove columns
- remove last_updated_date</t>
  </si>
  <si>
    <t>team_practice_group_relationship</t>
  </si>
  <si>
    <t>taxonomy_team_to_pg</t>
  </si>
  <si>
    <t>practice_group (taxonomy)
team (taxonomy)</t>
  </si>
  <si>
    <t>tme</t>
  </si>
  <si>
    <t>TME Sample</t>
  </si>
  <si>
    <t>practice_group (taxonomy)
office (taxonomy)
team (taxonomy)
employee_group (taxonomy)
employee_sub_group (taxonomy)
band_group (taxonomy)
band_level (taxonomy)</t>
  </si>
  <si>
    <t>- update columns to use consistent naming convention
- update business keys
- foreign key to person
- remove columns</t>
  </si>
  <si>
    <t>work_type</t>
  </si>
  <si>
    <t>taxonomy_matter_worktypes</t>
  </si>
  <si>
    <t>Corrections to image:</t>
  </si>
  <si>
    <t>2. B - Get all matters where glo_dev_silver.mds_matter.MatterCloseDateGMT &gt;= '2019-01-01'</t>
  </si>
  <si>
    <t>Include the following filter on group B - MemberFirmCode in ("GPMS", "NRAUS", "NRJAK", "NRFSA")</t>
  </si>
  <si>
    <t>Where more than 1 source system is identified, this should be listed as one row per source system and the total number of source systems involved in providing that specific piece of data should be noted against each of these rows.</t>
  </si>
  <si>
    <t>Primary Key</t>
  </si>
  <si>
    <t>Business Key</t>
  </si>
  <si>
    <t>Foreign Key</t>
  </si>
  <si>
    <t>Foreign Key and Natural Key</t>
  </si>
  <si>
    <t>Target Field</t>
  </si>
  <si>
    <t>Target Field Type</t>
  </si>
  <si>
    <t>Target Field Size</t>
  </si>
  <si>
    <t>Source Table</t>
  </si>
  <si>
    <t>Source Field(s)</t>
  </si>
  <si>
    <t>Source Field Type</t>
  </si>
  <si>
    <t>Source Field Size</t>
  </si>
  <si>
    <t>Mandatory Field?</t>
  </si>
  <si>
    <t>Transformations</t>
  </si>
  <si>
    <t>SCD</t>
  </si>
  <si>
    <t>Seed</t>
  </si>
  <si>
    <t>Not Needed</t>
  </si>
  <si>
    <t>SDGR Notes</t>
  </si>
  <si>
    <t>Original Sort Order</t>
  </si>
  <si>
    <t>GUID</t>
  </si>
  <si>
    <t>CM_COLUMN</t>
  </si>
  <si>
    <t>band_level_key</t>
  </si>
  <si>
    <t>bigint</t>
  </si>
  <si>
    <t>Internal</t>
  </si>
  <si>
    <t>IDENTITY COLUMN (1,1)</t>
  </si>
  <si>
    <t>AF7D3F74-890B-448A-AFFB-7842955BC852</t>
  </si>
  <si>
    <t>band_level.band_level_key</t>
  </si>
  <si>
    <t>band_level_code</t>
  </si>
  <si>
    <t>varchar</t>
  </si>
  <si>
    <t>BandLevelCode</t>
  </si>
  <si>
    <t>'Unknown'</t>
  </si>
  <si>
    <t>SDGR2004: Business keys should be placed after the primary key</t>
  </si>
  <si>
    <t>3C9E1A7D-5B2F-4A6E-8D1C-7F3B9E2A4C6D</t>
  </si>
  <si>
    <t>band_level.band_level_code</t>
  </si>
  <si>
    <t>band_level_description</t>
  </si>
  <si>
    <t>BandLevelDescription</t>
  </si>
  <si>
    <t>DA80048C-7145-3445-CCC9-73A0658100E9</t>
  </si>
  <si>
    <t>band_level.band_level_description</t>
  </si>
  <si>
    <t>band_group_code</t>
  </si>
  <si>
    <t>BandGroupCode</t>
  </si>
  <si>
    <t>SDGR2104: Rename band_group_code. Not an FK</t>
  </si>
  <si>
    <t>759C1E16-1F98-8C59-5751-9ACC863A9D66</t>
  </si>
  <si>
    <t>band_level.band_group_code</t>
  </si>
  <si>
    <t>band_group_description</t>
  </si>
  <si>
    <t>BandGroupDescription</t>
  </si>
  <si>
    <t>SDGR2104: New field added</t>
  </si>
  <si>
    <t>D9063C49-806C-D742-15DC-F99DDD146F20</t>
  </si>
  <si>
    <t>band_level.band_group_description</t>
  </si>
  <si>
    <t>is_active</t>
  </si>
  <si>
    <t>bit</t>
  </si>
  <si>
    <t>Active</t>
  </si>
  <si>
    <t>A88AF798-B1A6-1C2F-98A0-FA4331EF44E7</t>
  </si>
  <si>
    <t>band_level.is_active</t>
  </si>
  <si>
    <t>source_system</t>
  </si>
  <si>
    <t>nvarchar</t>
  </si>
  <si>
    <t>D64F33EB-448B-3D87-EE18-A84BB2D47DB4</t>
  </si>
  <si>
    <t>band_level.source_system</t>
  </si>
  <si>
    <t>inserted_process_instance_id</t>
  </si>
  <si>
    <t>C9D1FBA9-3202-A868-91B8-33EDFEDCC1DC</t>
  </si>
  <si>
    <t>band_level.inserted_process_instance_id</t>
  </si>
  <si>
    <t>updated_process_instance_id</t>
  </si>
  <si>
    <t>A9D6F8B1-2C3E-4D7A-A5F2-6B1C8E3D7A9F</t>
  </si>
  <si>
    <t>band_level.updated_process_instance_id</t>
  </si>
  <si>
    <t>inserted_process_queue_id</t>
  </si>
  <si>
    <t>6BF45181-6888-122F-4C6A-57A67D6D44ED</t>
  </si>
  <si>
    <t>band_level.inserted_process_queue_id</t>
  </si>
  <si>
    <t>updated_process_queue_id</t>
  </si>
  <si>
    <t>1BF6E89E-43B7-F16A-9D35-C45C6240BD13</t>
  </si>
  <si>
    <t>band_level.updated_process_queue_id</t>
  </si>
  <si>
    <t>inserted_date_time</t>
  </si>
  <si>
    <t>datetime</t>
  </si>
  <si>
    <t>1900-01-01</t>
  </si>
  <si>
    <t>EBC848C4-3103-32AC-9758-CED1EE9B290B</t>
  </si>
  <si>
    <t>band_level.inserted_date_time</t>
  </si>
  <si>
    <t>updated_date_time</t>
  </si>
  <si>
    <t>FFBE0B7E-E8EF-5AD6-7F8F-F9480093DDF2</t>
  </si>
  <si>
    <t>band_level.updated_date_time</t>
  </si>
  <si>
    <t>natural_key_hash</t>
  </si>
  <si>
    <t>483D09F3-1B11-2DCE-9469-DB7AA9001C59</t>
  </si>
  <si>
    <t>band_level.natural_key_hash</t>
  </si>
  <si>
    <t>bill_type_key</t>
  </si>
  <si>
    <t>C4E1A9F7-3D8B-4F6A-9C5E-2B1D7A4C8E6F</t>
  </si>
  <si>
    <t>bill_type.bill_type_key</t>
  </si>
  <si>
    <t>bill_type_code</t>
  </si>
  <si>
    <t>taxonomy_bill_types</t>
  </si>
  <si>
    <t>BillTypeCode</t>
  </si>
  <si>
    <t>FYI joins to material_group on chronometrics</t>
  </si>
  <si>
    <t>C3EFF445-E063-6500-12C8-CD97CFB3BCB6</t>
  </si>
  <si>
    <t>bill_type.bill_type_code</t>
  </si>
  <si>
    <t>bill_type_description</t>
  </si>
  <si>
    <t>E60DC973-5306-0EA1-5635-5A94DC0D5F19</t>
  </si>
  <si>
    <t>bill_type.bill_type_description</t>
  </si>
  <si>
    <t>BF1EB751-2566-75C0-83F6-1B5D9E5DDF3A</t>
  </si>
  <si>
    <t>bill_type.is_active</t>
  </si>
  <si>
    <t>A294F07A-DA33-7F20-2C20-37B3556FE70C</t>
  </si>
  <si>
    <t>bill_type.source_system</t>
  </si>
  <si>
    <t>D468AB61-1C3E-2CD9-07A7-80D6C312CE9D</t>
  </si>
  <si>
    <t>bill_type.inserted_process_instance_id</t>
  </si>
  <si>
    <t>8E35FDA6-06DB-0C1C-9B66-7D3055908676</t>
  </si>
  <si>
    <t>bill_type.updated_process_instance_id</t>
  </si>
  <si>
    <t>672FC172-45D8-E092-5133-620296110463</t>
  </si>
  <si>
    <t>bill_type.inserted_process_queue_id</t>
  </si>
  <si>
    <t>7B93BB9C-3830-0176-0019-DF006526CC42</t>
  </si>
  <si>
    <t>bill_type.updated_process_queue_id</t>
  </si>
  <si>
    <t>B2423ADB-D6B8-F127-3BD5-5075057E3F34</t>
  </si>
  <si>
    <t>bill_type.inserted_date_time</t>
  </si>
  <si>
    <t>BE72BF56-93A1-73A8-C602-E68E16325C17</t>
  </si>
  <si>
    <t>bill_type.updated_date_time</t>
  </si>
  <si>
    <t>50C9FB8F-9B55-BE8C-C46C-3289A44566FB</t>
  </si>
  <si>
    <t>bill_type.natural_key_hash</t>
  </si>
  <si>
    <t>client_programme</t>
  </si>
  <si>
    <t>client_programme_key</t>
  </si>
  <si>
    <t>EB7FA570-2CD4-95AD-3526-992897EED1B2</t>
  </si>
  <si>
    <t>client_programme_code</t>
  </si>
  <si>
    <t>taxonomy_client_programme</t>
  </si>
  <si>
    <t>ClientProgramme</t>
  </si>
  <si>
    <t>53D26165-0C5F-0B6E-42D3-3457A4C39B2D</t>
  </si>
  <si>
    <t>client_programme_description</t>
  </si>
  <si>
    <t>7764C5F5-2D47-FFC9-6ADD-251B3654E911</t>
  </si>
  <si>
    <t>1057E252-56A7-C390-924B-47D3BF522E69</t>
  </si>
  <si>
    <t>54E4B7B9-CE33-0AD6-704F-10031F296539</t>
  </si>
  <si>
    <t>55F7F527-F971-8F89-FF75-597E312B04CA</t>
  </si>
  <si>
    <t>40809355-1046-2433-C0B5-3FF474B91775</t>
  </si>
  <si>
    <t>FC71EC8A-4442-6EB9-D864-07FFDAC3F238</t>
  </si>
  <si>
    <t>146A664D-7EBB-EC5A-AD3E-15864ED07DEF</t>
  </si>
  <si>
    <t>44650B54-1B3F-28CD-F662-4277EF5F9A9B</t>
  </si>
  <si>
    <t>40343994-4590-930E-D33F-2B928BEC40A3</t>
  </si>
  <si>
    <t>6E248C01-3BAB-77A6-570D-5D9487C1EA74</t>
  </si>
  <si>
    <t>client_sector_key</t>
  </si>
  <si>
    <t>SDGR2004: Rename client_sic_code_key</t>
  </si>
  <si>
    <t>A7C1D9E3-2B4F-4E8A-9C6D-1F7A3B5C8E2D</t>
  </si>
  <si>
    <t>client_sector.client_sector_key</t>
  </si>
  <si>
    <t>sic_code</t>
  </si>
  <si>
    <t>SICCd</t>
  </si>
  <si>
    <t>int</t>
  </si>
  <si>
    <t>sub industry code</t>
  </si>
  <si>
    <t>6F2A9C1D-7E4B-4B8C-A5E9-3D1F7A6C2B4E</t>
  </si>
  <si>
    <t>client_sector.sic_code</t>
  </si>
  <si>
    <t>ibg_code</t>
  </si>
  <si>
    <t>IBGCd</t>
  </si>
  <si>
    <t>industry code</t>
  </si>
  <si>
    <t>DE478C10-AFD3-0600-427D-FF3C2BA78254</t>
  </si>
  <si>
    <t>client_sector.ibg_code</t>
  </si>
  <si>
    <t>ibg_sector_code</t>
  </si>
  <si>
    <t>SectorCd</t>
  </si>
  <si>
    <t>sector code</t>
  </si>
  <si>
    <t>038FB3A9-BAAA-85C4-E7B3-27746DD63C48</t>
  </si>
  <si>
    <t>client_sector.ibg_sector_code</t>
  </si>
  <si>
    <t>sic_code_description</t>
  </si>
  <si>
    <t>SICDescription</t>
  </si>
  <si>
    <t>1D1EB624-0291-5018-A7AC-AB42594D14D2</t>
  </si>
  <si>
    <t>client_sector.sic_code_description</t>
  </si>
  <si>
    <t>ibg_code_description</t>
  </si>
  <si>
    <t>IBGDescription</t>
  </si>
  <si>
    <t>5F273793-3C3D-1B88-75BA-8D1B1641CD72</t>
  </si>
  <si>
    <t>client_sector.ibg_code_description</t>
  </si>
  <si>
    <t>ibg_sector_code_description</t>
  </si>
  <si>
    <t>SectorDescription</t>
  </si>
  <si>
    <t>D8F28033-4421-3E9B-BD9D-4A49AC7F7C73</t>
  </si>
  <si>
    <t>client_sector.ibg_sector_code_description</t>
  </si>
  <si>
    <t>default_matter_sub_industry_code</t>
  </si>
  <si>
    <t>DefaultMatterSubIndustryCode</t>
  </si>
  <si>
    <t>54A9617D-EB5F-4461-1DE0-9246B4A4DA18</t>
  </si>
  <si>
    <t>client_sector.default_matter_sub_industry_code</t>
  </si>
  <si>
    <t>18846213-F1AE-7C2C-F686-BE9E0C6138CD</t>
  </si>
  <si>
    <t>client_sector.is_active</t>
  </si>
  <si>
    <t>2478C40F-198E-83AC-17A8-7867B00CB4DB</t>
  </si>
  <si>
    <t>client_sector.source_system</t>
  </si>
  <si>
    <t>D28E5C50-4B33-7015-7F07-3459919EAA6C</t>
  </si>
  <si>
    <t>client_sector.inserted_process_instance_id</t>
  </si>
  <si>
    <t>2C8AF377-CF2D-5D1E-F478-72287F0CDB99</t>
  </si>
  <si>
    <t>client_sector.updated_process_instance_id</t>
  </si>
  <si>
    <t>9AB6982E-F8AF-6321-6470-968B08A33024</t>
  </si>
  <si>
    <t>client_sector.inserted_process_queue_id</t>
  </si>
  <si>
    <t>15F979CC-FABC-5B19-53ED-A6757FD2C179</t>
  </si>
  <si>
    <t>client_sector.updated_process_queue_id</t>
  </si>
  <si>
    <t>0596B47B-36A4-9217-2CC5-117FB727572B</t>
  </si>
  <si>
    <t>client_sector.inserted_date_time</t>
  </si>
  <si>
    <t>1031E537-7EA5-6D75-46AA-A3511B88D4BC</t>
  </si>
  <si>
    <t>client_sector.updated_date_time</t>
  </si>
  <si>
    <t>0DF6731A-E2AE-DE5F-B54D-EDAEDD3B43FC</t>
  </si>
  <si>
    <t>client_sector.natural_key_hash</t>
  </si>
  <si>
    <t>company_key</t>
  </si>
  <si>
    <t>SDGR2004: Rename company_code_key</t>
  </si>
  <si>
    <t>F9A1C3D7-2B4E-4D8A-9C5F-1A7E3B2D6C8F</t>
  </si>
  <si>
    <t>company.company_key</t>
  </si>
  <si>
    <t>company_code</t>
  </si>
  <si>
    <t>CompanyCode</t>
  </si>
  <si>
    <t>95BC56BE-6619-0FD4-E66E-B613BE253BB3</t>
  </si>
  <si>
    <t>company.company_code</t>
  </si>
  <si>
    <t>member_firm_code</t>
  </si>
  <si>
    <t>MemberFirm</t>
  </si>
  <si>
    <t>SDGR2004: Not part of the business key as company_code is unique</t>
  </si>
  <si>
    <t>AEA76215-BAC2-C679-7E1D-C5CB9C25AFC8</t>
  </si>
  <si>
    <t>company.member_firm_code</t>
  </si>
  <si>
    <t>company_name</t>
  </si>
  <si>
    <t>CompanyName</t>
  </si>
  <si>
    <t>6C114163-AF1C-45B1-A65F-FAA3E12EF081</t>
  </si>
  <si>
    <t>company.company_name</t>
  </si>
  <si>
    <t>city</t>
  </si>
  <si>
    <t>City</t>
  </si>
  <si>
    <t>54845925-B9BB-A693-8725-F3720D1A4526</t>
  </si>
  <si>
    <t>company.city</t>
  </si>
  <si>
    <t>country_code_iso2</t>
  </si>
  <si>
    <t>CountryKey</t>
  </si>
  <si>
    <t>6E0C414B-D868-9ABE-E95C-F4AFEE4EAD6D</t>
  </si>
  <si>
    <t>company.country_code_iso2</t>
  </si>
  <si>
    <t>currency_code</t>
  </si>
  <si>
    <t>Currency</t>
  </si>
  <si>
    <t>4A62664D-F24E-C3BA-5206-32399F80B1E8</t>
  </si>
  <si>
    <t>company.currency_code</t>
  </si>
  <si>
    <t>B21B5E2F-F5B5-3362-1AB3-87FB29B1304A</t>
  </si>
  <si>
    <t>company.is_active</t>
  </si>
  <si>
    <t>0A8CBC1D-B83D-613D-86E3-08D940589B12</t>
  </si>
  <si>
    <t>company.source_system</t>
  </si>
  <si>
    <t>627325A1-4BC6-15DB-562B-E96E840354D4</t>
  </si>
  <si>
    <t>company.inserted_process_instance_id</t>
  </si>
  <si>
    <t>38B27CD5-16A1-40B3-0574-3FEEE5A3CC9A</t>
  </si>
  <si>
    <t>company.updated_process_instance_id</t>
  </si>
  <si>
    <t>820A0A82-220C-08B1-332E-46ECE218C6D2</t>
  </si>
  <si>
    <t>company.inserted_process_queue_id</t>
  </si>
  <si>
    <t>1621B84A-2E5E-40D0-52FC-7F61CA4E7060</t>
  </si>
  <si>
    <t>company.updated_process_queue_id</t>
  </si>
  <si>
    <t>E764B76B-DEFC-8945-08F0-B6FBB5DEC521</t>
  </si>
  <si>
    <t>company.inserted_date_time</t>
  </si>
  <si>
    <t>4BE66006-8A31-363F-F7BC-12446AF5C8F6</t>
  </si>
  <si>
    <t>company.updated_date_time</t>
  </si>
  <si>
    <t>DF82154A-B655-F311-5281-CD5DF7B9EB08</t>
  </si>
  <si>
    <t>company.natural_key_hash</t>
  </si>
  <si>
    <t>country_key</t>
  </si>
  <si>
    <t>IDENTITY COLUMN (1,1), No Filtering requirement.</t>
  </si>
  <si>
    <t>DF: framework requires surrogate keys on dimensions. Cannot be removed</t>
  </si>
  <si>
    <t>D4F1A9C7-3E8B-4D6A-9C5F-2B1D7A4C8E6F</t>
  </si>
  <si>
    <t>country.country_key</t>
  </si>
  <si>
    <t>CountryCodeISO2</t>
  </si>
  <si>
    <t>3D2B37C1-E6AB-56B9-C07C-9D622DE96B37</t>
  </si>
  <si>
    <t>country.country_code_iso2</t>
  </si>
  <si>
    <t>country_code_iso3</t>
  </si>
  <si>
    <t>CountryCodeISO3</t>
  </si>
  <si>
    <t>8CAD4ECC-26E1-ABB4-4FB8-37A0CAF74D51</t>
  </si>
  <si>
    <t>country.country_code_iso3</t>
  </si>
  <si>
    <t>country_code_iso4</t>
  </si>
  <si>
    <t>CountryCodeISO4</t>
  </si>
  <si>
    <t>F665D3CE-4A0A-C709-3A47-79DD52CAC593</t>
  </si>
  <si>
    <t>country.country_code_iso4</t>
  </si>
  <si>
    <t>country_name</t>
  </si>
  <si>
    <t>CountryName</t>
  </si>
  <si>
    <t>3ECF8429-0EC9-BA7B-AD86-FAFD26828D60</t>
  </si>
  <si>
    <t>country.country_name</t>
  </si>
  <si>
    <t>nationality</t>
  </si>
  <si>
    <t>NationalityLong</t>
  </si>
  <si>
    <t>80B115A5-7243-510C-3958-1EFBA5B6710D</t>
  </si>
  <si>
    <t>country.nationality</t>
  </si>
  <si>
    <t>language_code</t>
  </si>
  <si>
    <t>LanguageKey</t>
  </si>
  <si>
    <t>6D345D6C-4FC2-A5B8-6EC4-790CBA2EF1B0</t>
  </si>
  <si>
    <t>country.language_code</t>
  </si>
  <si>
    <t>CurrencyCode</t>
  </si>
  <si>
    <t>E7D0C438-B865-5F0B-A9BF-BA6201F766DD</t>
  </si>
  <si>
    <t>country.currency_code</t>
  </si>
  <si>
    <t>continent</t>
  </si>
  <si>
    <t>Continent</t>
  </si>
  <si>
    <t>CC22A283-6AE8-1602-0EA1-3FEFD6C9AAB9</t>
  </si>
  <si>
    <t>country.continent</t>
  </si>
  <si>
    <t>un_member</t>
  </si>
  <si>
    <t>UNMember</t>
  </si>
  <si>
    <t>F81E30E1-56B1-D026-BB25-8AEDB6F3000A</t>
  </si>
  <si>
    <t>country.un_member</t>
  </si>
  <si>
    <t>D088BAFE-146A-EDC8-ECEF-C09E5EA7D0AC</t>
  </si>
  <si>
    <t>country.is_active</t>
  </si>
  <si>
    <t>7AF79C93-0E57-C7ED-6E1C-12A4B57244BE</t>
  </si>
  <si>
    <t>country.source_system</t>
  </si>
  <si>
    <t>C79F3556-949F-302B-D3E9-3D34FE4645AA</t>
  </si>
  <si>
    <t>country.inserted_process_instance_id</t>
  </si>
  <si>
    <t>73D0BC9F-296F-19B4-35A5-6663A28D23E8</t>
  </si>
  <si>
    <t>country.updated_process_instance_id</t>
  </si>
  <si>
    <t>5CFD589B-61F2-FABC-782E-5E794ECC1004</t>
  </si>
  <si>
    <t>country.inserted_process_queue_id</t>
  </si>
  <si>
    <t>71E47947-18C6-80B3-5653-3EC9A1EEAF9C</t>
  </si>
  <si>
    <t>country.updated_process_queue_id</t>
  </si>
  <si>
    <t>93390E83-8DC0-EBD4-843C-9E6717B5D6EF</t>
  </si>
  <si>
    <t>country.inserted_date_time</t>
  </si>
  <si>
    <t>C1E8A9F4-7B2D-4D63-9F5A-2C7E1B8D3A6F</t>
  </si>
  <si>
    <t>country.updated_date_time</t>
  </si>
  <si>
    <t>D4340FAF-AFA7-59F3-D0C1-EF049EE7D6AE</t>
  </si>
  <si>
    <t>country.natural_key_hash</t>
  </si>
  <si>
    <t>currency_key</t>
  </si>
  <si>
    <t>SDGR: Should use ISO2 Code as the currency_key as ISO is International Standard and doesn't needd a surrogate
DF: framework requires surrogate keys on dimensions. Cannot be removed</t>
  </si>
  <si>
    <t>06F65DF8-A41B-F648-66E4-CDB18357558B</t>
  </si>
  <si>
    <t>currency.currency_key</t>
  </si>
  <si>
    <t>CurrencyKey</t>
  </si>
  <si>
    <t>A2C7E1D9-5B3F-4A6E-8D1C-9F3B7E2A4C6D</t>
  </si>
  <si>
    <t>currency.currency_code</t>
  </si>
  <si>
    <t>iso_no</t>
  </si>
  <si>
    <t>ISONo</t>
  </si>
  <si>
    <t>E1A6F8B2-9C3E-4D7A-A5F2-6B1C8E3D7A9F</t>
  </si>
  <si>
    <t>currency.iso_no</t>
  </si>
  <si>
    <t>currency_description</t>
  </si>
  <si>
    <t>8B4872CA-F2F3-E605-6666-E844BE20316E</t>
  </si>
  <si>
    <t>currency.currency_description</t>
  </si>
  <si>
    <t>decimals</t>
  </si>
  <si>
    <t>Decimals</t>
  </si>
  <si>
    <t>6B4449C4-15DD-D434-D610-E5516FBB8D44</t>
  </si>
  <si>
    <t>currency.decimals</t>
  </si>
  <si>
    <t>A0B230E5-A4A8-7B58-8063-09F1BCB9C261</t>
  </si>
  <si>
    <t>currency.is_active</t>
  </si>
  <si>
    <t>037E3D5E-1804-1656-5E75-A16DEEF9E48C</t>
  </si>
  <si>
    <t>currency.source_system</t>
  </si>
  <si>
    <t>F9B489AA-87BE-DB85-2A86-DAAEBDFFCFC0</t>
  </si>
  <si>
    <t>currency.inserted_process_instance_id</t>
  </si>
  <si>
    <t>C8AD52A1-6FF3-6A81-BF05-F373EC0AA0D8</t>
  </si>
  <si>
    <t>currency.updated_process_instance_id</t>
  </si>
  <si>
    <t>90021C0E-D1C6-C036-5783-B2FF0892AEA8</t>
  </si>
  <si>
    <t>currency.inserted_process_queue_id</t>
  </si>
  <si>
    <t>8E357160-6C4E-B18F-860E-E53CCEC65B29</t>
  </si>
  <si>
    <t>currency.updated_process_queue_id</t>
  </si>
  <si>
    <t>5902F9D4-B015-29E2-2D5B-D88EDB89C92D</t>
  </si>
  <si>
    <t>currency.inserted_date_time</t>
  </si>
  <si>
    <t>51A892BB-D6A1-D05C-1699-630E01F648C2</t>
  </si>
  <si>
    <t>currency.updated_date_time</t>
  </si>
  <si>
    <t>D8C452FC-EC7C-8EE7-897F-CB22F086D63B</t>
  </si>
  <si>
    <t>currency.natural_key_hash</t>
  </si>
  <si>
    <t>employee_sub_group_key</t>
  </si>
  <si>
    <t>85955787-5146-4EB8-1361-F14DE113E91A</t>
  </si>
  <si>
    <t>employee_sub_group.employee_sub_group_key</t>
  </si>
  <si>
    <t>employee_sub_group_code</t>
  </si>
  <si>
    <t>SubGroup</t>
  </si>
  <si>
    <t>3B7E1C9A-5D2F-4A6E-8D1C-7F3B9E2A4C6D</t>
  </si>
  <si>
    <t>employee_sub_group.employee_sub_group_code</t>
  </si>
  <si>
    <t>employee_sub_group_description</t>
  </si>
  <si>
    <t>SubGroupDescription</t>
  </si>
  <si>
    <t>5D786144-7CAA-91D7-629F-709CFA663B3C</t>
  </si>
  <si>
    <t>employee_sub_group.employee_sub_group_description</t>
  </si>
  <si>
    <t>employee_group_code</t>
  </si>
  <si>
    <t>Group</t>
  </si>
  <si>
    <t>2EE00638-0AC2-FC2B-E4D4-B3BA231DC0CF</t>
  </si>
  <si>
    <t>employee_sub_group.employee_group_code</t>
  </si>
  <si>
    <t>employee_group_description</t>
  </si>
  <si>
    <t>GroupDescription</t>
  </si>
  <si>
    <t>E1957905-A05F-1560-FA14-90130F1B53BA</t>
  </si>
  <si>
    <t>employee_sub_group.employee_group_description</t>
  </si>
  <si>
    <t>A9700CFF-1162-C419-F4EB-E03E20648272</t>
  </si>
  <si>
    <t>employee_sub_group.is_active</t>
  </si>
  <si>
    <t>78140489-8B42-408C-C944-254869C8451A</t>
  </si>
  <si>
    <t>employee_sub_group.source_system</t>
  </si>
  <si>
    <t>DC609B9C-35FF-23F2-3E96-AD3F4CBFF1F2</t>
  </si>
  <si>
    <t>employee_sub_group.inserted_process_instance_id</t>
  </si>
  <si>
    <t>7C978C9D-47FD-C7D1-3AAF-B6FC1E8F2B04</t>
  </si>
  <si>
    <t>employee_sub_group.updated_process_instance_id</t>
  </si>
  <si>
    <t>0830D9A8-F61D-9C73-1D16-3BDD74F80838</t>
  </si>
  <si>
    <t>employee_sub_group.inserted_process_queue_id</t>
  </si>
  <si>
    <t>26F9FF61-8C7B-147F-45E8-56C50ACBCDC6</t>
  </si>
  <si>
    <t>employee_sub_group.updated_process_queue_id</t>
  </si>
  <si>
    <t>856F8341-97B1-8B22-A131-E3608E98BC92</t>
  </si>
  <si>
    <t>employee_sub_group.inserted_date_time</t>
  </si>
  <si>
    <t>25B5824E-B4AF-8644-9304-7D70E96F6071</t>
  </si>
  <si>
    <t>employee_sub_group.updated_date_time</t>
  </si>
  <si>
    <t>8A4BBF96-925A-9F58-50A4-0818CADE2FB5</t>
  </si>
  <si>
    <t>employee_sub_group.natural_key_hash</t>
  </si>
  <si>
    <t>entry_classification_key</t>
  </si>
  <si>
    <t>7F2C1A9D-5B3E-4D8A-9C6F-1A7E3B2D6C8F</t>
  </si>
  <si>
    <t>entry_classification.entry_classification_key</t>
  </si>
  <si>
    <t>entry_classification_code</t>
  </si>
  <si>
    <t>taxonomy_entry_classifications</t>
  </si>
  <si>
    <t>EntryClassificationCode</t>
  </si>
  <si>
    <t>joins to material_group on chronometrics</t>
  </si>
  <si>
    <t>3A7E1C9D-5B2F-4A6E-8D1C-7F3B9E2A4C6D</t>
  </si>
  <si>
    <t>entry_classification.entry_classification_code</t>
  </si>
  <si>
    <t>entry_classification_description</t>
  </si>
  <si>
    <t>B9ADB14D-EF49-CE13-CD30-72D3AC5C8CCD</t>
  </si>
  <si>
    <t>entry_classification.entry_classification_description</t>
  </si>
  <si>
    <t>1A3507B6-52B4-0328-4FA7-D03D3437CE46</t>
  </si>
  <si>
    <t>entry_classification.is_active</t>
  </si>
  <si>
    <t>AD7AF45F-A07E-DCA6-8788-D4821FA4FE35</t>
  </si>
  <si>
    <t>entry_classification.source_system</t>
  </si>
  <si>
    <t>7F6BFBDE-FD6B-562C-94E5-12A559CEFEE6</t>
  </si>
  <si>
    <t>entry_classification.inserted_process_instance_id</t>
  </si>
  <si>
    <t>2650702E-8BE3-2E7C-4439-1F1CA2580206</t>
  </si>
  <si>
    <t>entry_classification.updated_process_instance_id</t>
  </si>
  <si>
    <t>F481C987-0006-221C-BE2B-D65D6BB5F27A</t>
  </si>
  <si>
    <t>entry_classification.inserted_process_queue_id</t>
  </si>
  <si>
    <t>91EFCFB4-C7EA-2ADA-C242-93557CD8505C</t>
  </si>
  <si>
    <t>entry_classification.updated_process_queue_id</t>
  </si>
  <si>
    <t>42791367-C7E8-09A2-F453-65AF6503781C</t>
  </si>
  <si>
    <t>entry_classification.inserted_date_time</t>
  </si>
  <si>
    <t>BE8CA785-BED6-4121-AA61-2947D6101C8A</t>
  </si>
  <si>
    <t>entry_classification.updated_date_time</t>
  </si>
  <si>
    <t>371B777B-76FD-AEA3-7E7F-1A5302B26D32</t>
  </si>
  <si>
    <t>entry_classification.natural_key_hash</t>
  </si>
  <si>
    <t>global_strategic_initiative_key</t>
  </si>
  <si>
    <t>SDGR2104: Rename global_strategic_initiative_key</t>
  </si>
  <si>
    <t>A6174D0E-5C4E-67E7-DEDA-E1473A3F5AF3</t>
  </si>
  <si>
    <t>global_strategic_initiative_code</t>
  </si>
  <si>
    <t>taxonomy_global_strategic_initiatives</t>
  </si>
  <si>
    <t>Key</t>
  </si>
  <si>
    <t>85C7AAE1-4C3C-1A5D-B71F-FB912F7ECD4C</t>
  </si>
  <si>
    <t>key_initiative</t>
  </si>
  <si>
    <t>KeyInitiative</t>
  </si>
  <si>
    <t>84DCD66E-798E-239E-EA5B-FA802523BE52</t>
  </si>
  <si>
    <t>C5864C3C-F1BC-3C47-2760-0B017150C352</t>
  </si>
  <si>
    <t>AC594C39-745E-554A-893B-0D749CD4519D</t>
  </si>
  <si>
    <t>E14E7DBD-B4F0-D542-80BA-739CC5735744</t>
  </si>
  <si>
    <t>1207F938-2C05-B572-17BB-C731EE5E8A13</t>
  </si>
  <si>
    <t>04AD86BA-D780-1103-BDEF-FBF6743DD7A9</t>
  </si>
  <si>
    <t>82233A7E-3724-10A1-B9CD-4AB081BB4447</t>
  </si>
  <si>
    <t>CA37ACA3-2C0E-FE05-F809-CA0399A42762</t>
  </si>
  <si>
    <t>C1665BE5-E31D-91C0-1E02-1A86E7C2AC5B</t>
  </si>
  <si>
    <t>8B246490-8E1A-27AB-9693-BB93EE08E976</t>
  </si>
  <si>
    <t>SDGR2104: This taxonomy does not need to be shared with the regions</t>
  </si>
  <si>
    <t>matter_billing_frequency_key</t>
  </si>
  <si>
    <t>D8F1A3C7-2E4B-4D9A-9C5F-1A7E3B2D6C8F</t>
  </si>
  <si>
    <t>matter_billing_frequency.matter_billing_frequency_key</t>
  </si>
  <si>
    <t>matter_billing_frequency_code</t>
  </si>
  <si>
    <t>taxonomy_matter_bill_frequency</t>
  </si>
  <si>
    <t>BillFrequencyCode</t>
  </si>
  <si>
    <t>1C7E9A3D-5B2F-4A6E-8D1C-7F3B9E2A4C6D</t>
  </si>
  <si>
    <t>matter_billing_frequency.matter_billing_frequency_code</t>
  </si>
  <si>
    <t>matter_billing_frequency_description</t>
  </si>
  <si>
    <t>3063F535-6DD4-2AF3-51BB-1BD99FF7D5A3</t>
  </si>
  <si>
    <t>matter_billing_frequency.matter_billing_frequency_description</t>
  </si>
  <si>
    <t>1DC4273E-99A9-8CE1-8C72-A71EF4A4C16B</t>
  </si>
  <si>
    <t>matter_billing_frequency.is_active</t>
  </si>
  <si>
    <t>20A01AEF-E8F7-7850-C207-0775C680C85E</t>
  </si>
  <si>
    <t>matter_billing_frequency.source_system</t>
  </si>
  <si>
    <t>FCEF2ADC-3EA5-84AD-100C-EC71B8A72C6F</t>
  </si>
  <si>
    <t>matter_billing_frequency.inserted_process_instance_id</t>
  </si>
  <si>
    <t>9237F823-CAAA-EF6F-4A93-841711D8C0B7</t>
  </si>
  <si>
    <t>matter_billing_frequency.updated_process_instance_id</t>
  </si>
  <si>
    <t>60F25B72-B213-AC47-D126-25D22490122D</t>
  </si>
  <si>
    <t>matter_billing_frequency.inserted_process_queue_id</t>
  </si>
  <si>
    <t>B66250F2-C309-B6F5-ADD9-F1C91C52F451</t>
  </si>
  <si>
    <t>matter_billing_frequency.updated_process_queue_id</t>
  </si>
  <si>
    <t>B645FABB-B524-12F0-B680-4A37E14FA7B0</t>
  </si>
  <si>
    <t>matter_billing_frequency.inserted_date_time</t>
  </si>
  <si>
    <t>930F9C04-BEF8-D14F-4490-4E0FBBC6BA11</t>
  </si>
  <si>
    <t>matter_billing_frequency.updated_date_time</t>
  </si>
  <si>
    <t>A4534FCC-932B-9B0A-4D1C-B043B6B4C077</t>
  </si>
  <si>
    <t>matter_billing_frequency.natural_key_hash</t>
  </si>
  <si>
    <t>matter_billing_method_key</t>
  </si>
  <si>
    <t>E7A1C3D9-5B2F-4A8C-9D6E-3F1A7B2C5D8E</t>
  </si>
  <si>
    <t>matter_billing_method.matter_billing_method_key</t>
  </si>
  <si>
    <t>matter_billing_method_code</t>
  </si>
  <si>
    <t>taxonomy_matter_billing_methods</t>
  </si>
  <si>
    <t>BillingMethodCode</t>
  </si>
  <si>
    <t>A23F68EF-47C3-847D-5CC6-DFFCCC14EA1E</t>
  </si>
  <si>
    <t>matter_billing_method.matter_billing_method_code</t>
  </si>
  <si>
    <t>matter_billing_method_description</t>
  </si>
  <si>
    <t>4209FC9E-5C92-0BF8-0A50-32CB874BCA35</t>
  </si>
  <si>
    <t>matter_billing_method.matter_billing_method_description</t>
  </si>
  <si>
    <t>5E2C084B-7DA6-CDF2-DBE9-F2F5F9A56427</t>
  </si>
  <si>
    <t>matter_billing_method.is_active</t>
  </si>
  <si>
    <t>10254476-3E88-CD75-6E21-175628FD7190</t>
  </si>
  <si>
    <t>matter_billing_method.source_system</t>
  </si>
  <si>
    <t>6ED32BA9-D372-24AE-E742-11229C68CB24</t>
  </si>
  <si>
    <t>matter_billing_method.inserted_process_instance_id</t>
  </si>
  <si>
    <t>01B7D6C0-6F0C-CD2F-7FC8-398D43BE746D</t>
  </si>
  <si>
    <t>matter_billing_method.updated_process_instance_id</t>
  </si>
  <si>
    <t>7DBB5CA2-22A8-B381-B411-5DC3CEAA18EA</t>
  </si>
  <si>
    <t>matter_billing_method.inserted_process_queue_id</t>
  </si>
  <si>
    <t>DD06A7BE-249E-7B17-EC6B-C0160CE4C171</t>
  </si>
  <si>
    <t>matter_billing_method.updated_process_queue_id</t>
  </si>
  <si>
    <t>B58A574C-1C84-2672-2688-A93DE0A87BAB</t>
  </si>
  <si>
    <t>matter_billing_method.inserted_date_time</t>
  </si>
  <si>
    <t>5D6B4735-0822-66C3-BAB1-00225B4E07E9</t>
  </si>
  <si>
    <t>matter_billing_method.updated_date_time</t>
  </si>
  <si>
    <t>E12FAE52-6B91-697B-EAF6-7A59D2468A0D</t>
  </si>
  <si>
    <t>matter_billing_method.natural_key_hash</t>
  </si>
  <si>
    <t>matter_category_key</t>
  </si>
  <si>
    <t>F1A9C3D7-2B4E-4D8A-9C5F-1A7E3B2D6C8F</t>
  </si>
  <si>
    <t>matter_category.matter_category_key</t>
  </si>
  <si>
    <t>matter_category_code</t>
  </si>
  <si>
    <t>MatterCategory</t>
  </si>
  <si>
    <t>59F08D03-5D31-3D3B-DE9C-4C519E45FF83</t>
  </si>
  <si>
    <t>matter_category.matter_category_code</t>
  </si>
  <si>
    <t>matter_category_description</t>
  </si>
  <si>
    <t>DA1D2195-C4D1-20F9-EA2F-A1DD3D9640D2</t>
  </si>
  <si>
    <t>matter_category.matter_category_description</t>
  </si>
  <si>
    <t>E148F3C4-B210-B008-9E14-7E68F411D23B</t>
  </si>
  <si>
    <t>matter_category.is_active</t>
  </si>
  <si>
    <t>A83CC4D4-3212-0FFD-EED4-1F7432352239</t>
  </si>
  <si>
    <t>matter_category.source_system</t>
  </si>
  <si>
    <t>074AF9EC-CD66-70B8-8168-9D5F38E5D110</t>
  </si>
  <si>
    <t>matter_category.inserted_process_instance_id</t>
  </si>
  <si>
    <t>8F3694C5-8811-B620-B11A-65F3D0444C55</t>
  </si>
  <si>
    <t>matter_category.updated_process_instance_id</t>
  </si>
  <si>
    <t>9717E0D6-255D-DD32-2F96-587AC938D765</t>
  </si>
  <si>
    <t>matter_category.inserted_process_queue_id</t>
  </si>
  <si>
    <t>7E4FA9B1-2DE9-860F-5237-A4CEB338DCBB</t>
  </si>
  <si>
    <t>matter_category.updated_process_queue_id</t>
  </si>
  <si>
    <t>AC3F6761-920B-8295-CDBF-E3323FE0ACA4</t>
  </si>
  <si>
    <t>matter_category.inserted_date_time</t>
  </si>
  <si>
    <t>FEE4048C-DC08-CF03-426A-278EA28F5244</t>
  </si>
  <si>
    <t>matter_category.updated_date_time</t>
  </si>
  <si>
    <t>F2F7D249-F61C-858D-375A-5BD2D244FA7A</t>
  </si>
  <si>
    <t>matter_category.natural_key_hash</t>
  </si>
  <si>
    <t>matter_entry_type_key</t>
  </si>
  <si>
    <t>F9DAAD34-32BF-D3AA-375A-E4CBCA68C1BA</t>
  </si>
  <si>
    <t>matter_entry_type.matter_entry_type_key</t>
  </si>
  <si>
    <t>matter_entry_type_code</t>
  </si>
  <si>
    <t>taxonomy_matter_entry_types</t>
  </si>
  <si>
    <t>EntryTypeCode</t>
  </si>
  <si>
    <t>4EA03F1F-F9F1-8947-E381-CE5CD128A3A0</t>
  </si>
  <si>
    <t>matter_entry_type.matter_entry_type_code</t>
  </si>
  <si>
    <t>matter_entry_type_description</t>
  </si>
  <si>
    <t>93790485-672B-F0D6-9C3B-BB553BB28F7D</t>
  </si>
  <si>
    <t>matter_entry_type.matter_entry_type_description</t>
  </si>
  <si>
    <t>BB6209CA-63C7-2C8B-4A97-764587F5E6EA</t>
  </si>
  <si>
    <t>matter_entry_type.is_active</t>
  </si>
  <si>
    <t>AB017F99-5692-D0F7-2772-CB20B4231D0B</t>
  </si>
  <si>
    <t>matter_entry_type.source_system</t>
  </si>
  <si>
    <t>01C88904-981E-17A2-4276-9759F73E69AF</t>
  </si>
  <si>
    <t>matter_entry_type.inserted_process_instance_id</t>
  </si>
  <si>
    <t>79D8F3E2-1F1E-FEB4-9C0B-0AC1999FBC1D</t>
  </si>
  <si>
    <t>matter_entry_type.updated_process_instance_id</t>
  </si>
  <si>
    <t>BABEF4F9-2CA7-8DF4-9549-9F73620EE716</t>
  </si>
  <si>
    <t>matter_entry_type.inserted_process_queue_id</t>
  </si>
  <si>
    <t>64C8D9A9-FBC5-EE61-2A21-2DE30EC73C5F</t>
  </si>
  <si>
    <t>matter_entry_type.updated_process_queue_id</t>
  </si>
  <si>
    <t>672106DC-C50A-6A52-9B9B-5DAC7D6E7BDB</t>
  </si>
  <si>
    <t>matter_entry_type.inserted_date_time</t>
  </si>
  <si>
    <t>AB502FE5-331B-1B22-B3AB-0ACA11E2270C</t>
  </si>
  <si>
    <t>matter_entry_type.updated_date_time</t>
  </si>
  <si>
    <t>56B3BCC2-6CBE-69E7-3069-6C2D084733F8</t>
  </si>
  <si>
    <t>matter_entry_type.natural_key_hash</t>
  </si>
  <si>
    <t>matter_sector_key</t>
  </si>
  <si>
    <t>SDGR2104: Rename matter_sic_code_key</t>
  </si>
  <si>
    <t>A9C1E3D7-4B6F-4D8A-9C5E-2F7A1B3D8C6E</t>
  </si>
  <si>
    <t>matter_sector.matter_sector_key</t>
  </si>
  <si>
    <t>SubIndustryCode</t>
  </si>
  <si>
    <t>EAF09AB1-4F96-7372-E4E7-06E4C2A03DBE</t>
  </si>
  <si>
    <t>matter_sector.sic_code</t>
  </si>
  <si>
    <t>IBGCode</t>
  </si>
  <si>
    <t>E1D6F8B2-9C3E-4D7A-A5F2-6B1C8E3D7A9F</t>
  </si>
  <si>
    <t>matter_sector.ibg_code</t>
  </si>
  <si>
    <t>SectorCode</t>
  </si>
  <si>
    <t>SDGR: Use sector instead of headlight</t>
  </si>
  <si>
    <t>C771F1FE-367E-71CA-4473-F12A86BD0A80</t>
  </si>
  <si>
    <t>matter_sector.igb_sector_code</t>
  </si>
  <si>
    <t>SubIndustryDescription</t>
  </si>
  <si>
    <t>BE518437-956F-A72C-98CB-FCEC7F8E6017</t>
  </si>
  <si>
    <t>matter_sector.sic_code_description</t>
  </si>
  <si>
    <t>92EEF93B-440A-FF31-9800-0C7CC7F42A27</t>
  </si>
  <si>
    <t>matter_sector.ibg_code_description</t>
  </si>
  <si>
    <t>13EA6147-06F4-B3A4-2D5C-5ECBCAACFDEA</t>
  </si>
  <si>
    <t>matter_sector.ibg_sector_code_description</t>
  </si>
  <si>
    <t>AE1DE85E-FA45-DFCA-A9A0-21EF8B21827C</t>
  </si>
  <si>
    <t>matter_sector.is_active</t>
  </si>
  <si>
    <t>20D48659-A20E-FD80-DCAF-C78AEFF4F627</t>
  </si>
  <si>
    <t>matter_sector.source_system</t>
  </si>
  <si>
    <t>334D53BC-FC9C-5CC7-A858-A72BBD2C8ABC</t>
  </si>
  <si>
    <t>matter_sector.inserted_process_instance_id</t>
  </si>
  <si>
    <t>AB7C8C31-C52F-489A-C76C-59D42B2052E7</t>
  </si>
  <si>
    <t>matter_sector.updated_process_instance_id</t>
  </si>
  <si>
    <t>206A451C-74B6-6BA4-FFFB-5FDB683495B5</t>
  </si>
  <si>
    <t>matter_sector.inserted_process_queue_id</t>
  </si>
  <si>
    <t>668BDBC3-FC5C-6574-F1E4-6DF3177F962D</t>
  </si>
  <si>
    <t>matter_sector.updated_process_queue_id</t>
  </si>
  <si>
    <t>FD37D573-704A-52A7-31D2-6E372BB54A85</t>
  </si>
  <si>
    <t>matter_sector.inserted_date_time</t>
  </si>
  <si>
    <t>7403C0D1-524C-7CA9-43EF-47FCCA395E92</t>
  </si>
  <si>
    <t>matter_sector.updated_date_time</t>
  </si>
  <si>
    <t>03E47749-6FBA-5480-0E86-9788064BC1E2</t>
  </si>
  <si>
    <t>matter_sector.natural_key_hash</t>
  </si>
  <si>
    <t>matter_status_key</t>
  </si>
  <si>
    <t>8C3F1A7D-5B2E-4D9A-9C6F-1A7E3B2D6C8F</t>
  </si>
  <si>
    <t>matter_status.matter_status_key</t>
  </si>
  <si>
    <t>matter_status_code</t>
  </si>
  <si>
    <t>StatusCode</t>
  </si>
  <si>
    <t>SDGR: Re-label Status Code. Make business key</t>
  </si>
  <si>
    <t>7AFBE43E-26E8-665E-9B41-59B94CA441A2</t>
  </si>
  <si>
    <t>matter_status.matter_status_code</t>
  </si>
  <si>
    <t>matter_status_description</t>
  </si>
  <si>
    <t>SDGR: Description</t>
  </si>
  <si>
    <t>3E9A1C7D-5B2F-4A6E-8D1C-7F3B9E2A4C6D</t>
  </si>
  <si>
    <t>matter_status.matter_status_description</t>
  </si>
  <si>
    <t>55E606C0-8ED1-4A94-8351-FB5A185CF1BD</t>
  </si>
  <si>
    <t>matter_status.is_active</t>
  </si>
  <si>
    <t>675BB5A9-9523-B80C-2541-46363DA4DB63</t>
  </si>
  <si>
    <t>matter_status.source_system</t>
  </si>
  <si>
    <t>B6FD9455-07A8-9741-C4AE-6DED69090B9C</t>
  </si>
  <si>
    <t>matter_status.inserted_process_instance_id</t>
  </si>
  <si>
    <t>412FEFC9-458F-BC74-3AED-3E3418EF9FC8</t>
  </si>
  <si>
    <t>matter_status.updated_process_instance_id</t>
  </si>
  <si>
    <t>D00287FD-6662-3A06-394B-233FCD672367</t>
  </si>
  <si>
    <t>matter_status.inserted_process_queue_id</t>
  </si>
  <si>
    <t>741C3778-2F83-4F95-73E6-08DF6F7BC902</t>
  </si>
  <si>
    <t>matter_status.updated_process_queue_id</t>
  </si>
  <si>
    <t>C06CEFB8-4B41-A41F-122E-3B189D041BAF</t>
  </si>
  <si>
    <t>matter_status.inserted_date_time</t>
  </si>
  <si>
    <t>D0446ED7-308B-0D5D-6679-A55057688EBF</t>
  </si>
  <si>
    <t>matter_status.updated_date_time</t>
  </si>
  <si>
    <t>0E49C795-93C5-EC3E-1914-DC03BE2A0CB0</t>
  </si>
  <si>
    <t>matter_status.natural_key_hash</t>
  </si>
  <si>
    <t>nature_of_proceeding_key</t>
  </si>
  <si>
    <t>45DF6902-36A0-26DA-6248-7C5FB2D826BB</t>
  </si>
  <si>
    <t>nature_of_proceeding.nature_of_proceeding_key</t>
  </si>
  <si>
    <t>nature_of_proceeding_code</t>
  </si>
  <si>
    <t>NatureofProceedingCode</t>
  </si>
  <si>
    <t>46BD0DD5-85BE-A3CA-AED3-A045CFF9D0C3</t>
  </si>
  <si>
    <t>nature_of_proceeding.nature_of_proceeding_code</t>
  </si>
  <si>
    <t>nature_of_work_code</t>
  </si>
  <si>
    <t>NatureofWorkCode</t>
  </si>
  <si>
    <t>E1D7B3A5-8C2F-4D9A-A6E3-7B1C5F2D9A8E</t>
  </si>
  <si>
    <t>nature_of_proceeding.nature_of_work_code</t>
  </si>
  <si>
    <t>nature_of_proceeding_description</t>
  </si>
  <si>
    <t>ProceedingDescription</t>
  </si>
  <si>
    <t>4ADA09D1-8BEF-66E9-D7DC-B8A412C1B776</t>
  </si>
  <si>
    <t>nature_of_proceeding.nature_of_proceeding_description</t>
  </si>
  <si>
    <t>nature_of_work_description</t>
  </si>
  <si>
    <t>WorkDescription</t>
  </si>
  <si>
    <t>0E481935-B374-140E-9B09-CEAB425E22FF</t>
  </si>
  <si>
    <t>nature_of_proceeding.nature_of_work_description</t>
  </si>
  <si>
    <t>92B230F2-E652-407F-B829-39C461D056C4</t>
  </si>
  <si>
    <t>nature_of_proceeding.is_active</t>
  </si>
  <si>
    <t>9FDD9583-90E0-AD60-A8D9-F0C0353DF0DA</t>
  </si>
  <si>
    <t>nature_of_proceeding.source_system</t>
  </si>
  <si>
    <t>75FD49B8-5850-E8AA-90AF-0FC25D812205</t>
  </si>
  <si>
    <t>nature_of_proceeding.inserted_process_instance_id</t>
  </si>
  <si>
    <t>3D1889D0-B986-2ED4-330D-DEC101A30166</t>
  </si>
  <si>
    <t>nature_of_proceeding.updated_process_instance_id</t>
  </si>
  <si>
    <t>49C715CF-BEC7-CA7D-1131-677C1732F920</t>
  </si>
  <si>
    <t>nature_of_proceeding.inserted_process_queue_id</t>
  </si>
  <si>
    <t>1B72B097-55B4-B69D-04E8-A6D13AAE604E</t>
  </si>
  <si>
    <t>nature_of_proceeding.updated_process_queue_id</t>
  </si>
  <si>
    <t>46CCBEF8-A52B-1AAA-8794-13EB2DDD86DC</t>
  </si>
  <si>
    <t>nature_of_proceeding.inserted_date_time</t>
  </si>
  <si>
    <t>B2DAD851-0F18-C280-D573-28E54BD4A819</t>
  </si>
  <si>
    <t>nature_of_proceeding.updated_date_time</t>
  </si>
  <si>
    <t>38E4F880-63FB-15CA-63B9-7DDA355F8565</t>
  </si>
  <si>
    <t>nature_of_proceeding.natural_key_hash</t>
  </si>
  <si>
    <t>office_key</t>
  </si>
  <si>
    <t>A4F1C9D2-7E35-4B8A-9C6D-2F7A1E3B5C8D</t>
  </si>
  <si>
    <t>office.office_key</t>
  </si>
  <si>
    <t>office_code</t>
  </si>
  <si>
    <t>taxonomy_offices</t>
  </si>
  <si>
    <t>Office</t>
  </si>
  <si>
    <t>B7E2A4F9-1D63-4C8B-A5E9-3F1D7A6C2B4E</t>
  </si>
  <si>
    <t>office.office_code</t>
  </si>
  <si>
    <t>SDGR2104: Not part of the business key, office_code is unique enough</t>
  </si>
  <si>
    <t>C9D7A3C1-5B28-4E6A-8F2C-7A1E9B3D4C6F</t>
  </si>
  <si>
    <t>office.member_firm_code</t>
  </si>
  <si>
    <t>office_id</t>
  </si>
  <si>
    <t>mds_office</t>
  </si>
  <si>
    <t>OfficeID</t>
  </si>
  <si>
    <t>Convert(VARCHAR(50), OfficeID)</t>
  </si>
  <si>
    <t>Source System Key</t>
  </si>
  <si>
    <t>SDGR2104: FK</t>
  </si>
  <si>
    <t>D2F8C1B7-9A45-4D3C-B6E2-1A7F3C9D5E8B</t>
  </si>
  <si>
    <t>office.office_id</t>
  </si>
  <si>
    <t>JOIN to company on CompanyCode to obtain surrogate key (see below)</t>
  </si>
  <si>
    <t>4BABAEEA-1783-A5C4-14FE-58A9F0C914DA</t>
  </si>
  <si>
    <t>office.company_key</t>
  </si>
  <si>
    <t>office_name</t>
  </si>
  <si>
    <t>F7C9E1A5-2F3B-4A6E-8D1F-9B3C7E2A5D4F</t>
  </si>
  <si>
    <t>office.office_name</t>
  </si>
  <si>
    <t>street1</t>
  </si>
  <si>
    <t>StreetAddress1</t>
  </si>
  <si>
    <t>office.street_1</t>
  </si>
  <si>
    <t>street2</t>
  </si>
  <si>
    <t>StreetAddress2</t>
  </si>
  <si>
    <t>2E5B7A1C-9D3F-4B8E-A6C1-7F2D9A3E5B8C</t>
  </si>
  <si>
    <t>office.street_2</t>
  </si>
  <si>
    <t>street3</t>
  </si>
  <si>
    <t>StreetAddress3</t>
  </si>
  <si>
    <t>3D8A5F7B-1C9E-4D2A-B6F8-3C7E1A9D5B2F</t>
  </si>
  <si>
    <t>office.street_3</t>
  </si>
  <si>
    <t>street4</t>
  </si>
  <si>
    <t>StreetAddress4</t>
  </si>
  <si>
    <t>8DA6AA55-576F-FCFA-C9D8-F40F23C92BE4</t>
  </si>
  <si>
    <t>office.street_4</t>
  </si>
  <si>
    <t>street5</t>
  </si>
  <si>
    <t>StreetAddress5</t>
  </si>
  <si>
    <t>5A1C9E3D-7B2F-4F8A-9D6E-3C7A1B2D5E8F</t>
  </si>
  <si>
    <t>office.street_5</t>
  </si>
  <si>
    <t>6C2E9B7A-1F5D-4C8A-9E6B-7A1D3F2C5E8D</t>
  </si>
  <si>
    <t>office.city</t>
  </si>
  <si>
    <t>postal_code</t>
  </si>
  <si>
    <t>PostalCode</t>
  </si>
  <si>
    <t>7B2E4F9A-1D73-4C8B-A5E9-3F1D7A6C2B4E</t>
  </si>
  <si>
    <t>office.postal_code</t>
  </si>
  <si>
    <t>region</t>
  </si>
  <si>
    <t>Region</t>
  </si>
  <si>
    <t>8F7C2E1A-3D8B-4F6A-9C5E-2B1D7A4C8E6F</t>
  </si>
  <si>
    <t>office.region</t>
  </si>
  <si>
    <t>CountryCode</t>
  </si>
  <si>
    <t>9A2F8C1B-7E45-4D3C-B6E2-1A7F3C9D5E8B</t>
  </si>
  <si>
    <t>office.country_code_iso2</t>
  </si>
  <si>
    <t>phone_number</t>
  </si>
  <si>
    <t>PhoneNumber</t>
  </si>
  <si>
    <t>LTRIM(RTRIM(phoneNumber))</t>
  </si>
  <si>
    <t>A3E7A1C9-5B2F-4A6E-8D1C-7F9B3E2A4C6D</t>
  </si>
  <si>
    <t>office.phone_number</t>
  </si>
  <si>
    <t>fax_number</t>
  </si>
  <si>
    <t>FaxNumber</t>
  </si>
  <si>
    <t>EFE0D466-2611-FCE8-DD31-B6582F445CF9</t>
  </si>
  <si>
    <t>office.fax_number</t>
  </si>
  <si>
    <t>office_email_address</t>
  </si>
  <si>
    <t>OfficeEmailAddress</t>
  </si>
  <si>
    <t>LTRIM(RTRIM(EmailAddress))</t>
  </si>
  <si>
    <t>8E18F122-4F2F-5DFC-59FB-90AE15A33E8C</t>
  </si>
  <si>
    <t>office.office_email_address</t>
  </si>
  <si>
    <t>po_box</t>
  </si>
  <si>
    <t>POBox</t>
  </si>
  <si>
    <t>D9A7F3C2-5E41-4B8A-A6D2-1F3C9E7B8A55</t>
  </si>
  <si>
    <t>office.po_box</t>
  </si>
  <si>
    <t>extension_prefix</t>
  </si>
  <si>
    <t>ExtensionPrefix</t>
  </si>
  <si>
    <t>E1A9C3D7-5B2F-4A8C-9D6E-3F1A7B2C5D8E</t>
  </si>
  <si>
    <t>office.extension_prefix</t>
  </si>
  <si>
    <t>utc_offset</t>
  </si>
  <si>
    <t>UTCOffset</t>
  </si>
  <si>
    <t>CF045B1B-D3B5-33B4-2342-DCDD1FB237D5</t>
  </si>
  <si>
    <t>office.utc_offset</t>
  </si>
  <si>
    <t>website_url</t>
  </si>
  <si>
    <t>WebsiteURL</t>
  </si>
  <si>
    <t>127C7A35-57C2-1267-2DFB-A1C8F978CE49</t>
  </si>
  <si>
    <t>office.website_url</t>
  </si>
  <si>
    <t>7C2FC989-56B8-F1D4-9A95-94248341808C</t>
  </si>
  <si>
    <t>office.is_active</t>
  </si>
  <si>
    <t>0FE955D1-16BB-5FED-B933-83FFAAAF0693</t>
  </si>
  <si>
    <t>office.source_system</t>
  </si>
  <si>
    <t>064FDC8B-2137-4C82-320C-777453BE8FBF</t>
  </si>
  <si>
    <t>office.inserted_process_instance_id</t>
  </si>
  <si>
    <t>AACD9B19-48A4-471A-760B-D45DCC3F5D39</t>
  </si>
  <si>
    <t>office.updated_process_instance_id</t>
  </si>
  <si>
    <t>BFA7E096-CAFD-D54E-3CB7-1312403C99D8</t>
  </si>
  <si>
    <t>office.inserted_process_queue_id</t>
  </si>
  <si>
    <t>6B5299E6-FB70-7B52-E1B4-9DDF12FDE3BF</t>
  </si>
  <si>
    <t>office.updated_process_queue_id</t>
  </si>
  <si>
    <t>A2EAF00A-F420-4F2E-8828-DC75F8E525CB</t>
  </si>
  <si>
    <t>office.inserted_date_time</t>
  </si>
  <si>
    <t>9F4E773B-898D-6626-459A-956F93E4D49E</t>
  </si>
  <si>
    <t>office.updated_date_time</t>
  </si>
  <si>
    <t>E445F6D2-11C7-81A7-70E8-526C106FA4F4</t>
  </si>
  <si>
    <t>office.natural_key_hash</t>
  </si>
  <si>
    <t>Joins:</t>
  </si>
  <si>
    <t>LEFT JOIN mds_office to taxonomy_offices ON mds_office.OfficeCode = taxonomy_offices.Office AND mds_office.Active = true AND mds_office.MemberFirmCode in ("GPMS", "NRAUS", "NRJAK")</t>
  </si>
  <si>
    <t>LEFT JOIN taxonomy_data_model.company to taxonomy_offices ON company.company_code = taxonomy_offices.CompanyCode</t>
  </si>
  <si>
    <t>partner_function</t>
  </si>
  <si>
    <t>partner_function_key</t>
  </si>
  <si>
    <t>E5A1C7D9-2B4F-4D8A-9C6E-1F7A3B2D6C8F</t>
  </si>
  <si>
    <t>partner_function.partner_function_key</t>
  </si>
  <si>
    <t>partner_function_code</t>
  </si>
  <si>
    <t>taxonomy_partner_functions</t>
  </si>
  <si>
    <t>FunctionCode</t>
  </si>
  <si>
    <t>4D7E1A9C-5B2F-4A6E-8D1C-7F3B9E2A4C6D</t>
  </si>
  <si>
    <t>partner_function.partner_function_code</t>
  </si>
  <si>
    <t>sap_code</t>
  </si>
  <si>
    <t>SAPCode</t>
  </si>
  <si>
    <t>1FFBF10B-ADAB-A1CA-34E6-5685AB6FEAEC</t>
  </si>
  <si>
    <t>partner_function.sap_code</t>
  </si>
  <si>
    <t>partner_function_description</t>
  </si>
  <si>
    <t>5B520588-B05F-C95D-B8E8-C3E3B6E788F7</t>
  </si>
  <si>
    <t>partner_function.partner_function_description</t>
  </si>
  <si>
    <t>partner_function_type</t>
  </si>
  <si>
    <t>E5516805-F9BA-18F1-3592-2B6539425989</t>
  </si>
  <si>
    <t>partner_function.partner_function_type</t>
  </si>
  <si>
    <t>7F45805E-33EB-B302-F7B0-7058641C16F3</t>
  </si>
  <si>
    <t>partner_function.is_active</t>
  </si>
  <si>
    <t>AD10C7E6-7E4D-B253-E575-9B16F8C2F1EE</t>
  </si>
  <si>
    <t>partner_function.source_system</t>
  </si>
  <si>
    <t>04444FBB-B928-E155-4DDA-5CC3919220D1</t>
  </si>
  <si>
    <t>partner_function.inserted_process_instance_id</t>
  </si>
  <si>
    <t>A375A269-DE97-6D90-6C9C-C4677DEE43F3</t>
  </si>
  <si>
    <t>partner_function.updated_process_instance_id</t>
  </si>
  <si>
    <t>9CEB37C4-A06D-33AB-A579-0FA20A4B7D19</t>
  </si>
  <si>
    <t>partner_function.inserted_process_queue_id</t>
  </si>
  <si>
    <t>5D030822-83A7-B497-30A8-B19B311F9B9D</t>
  </si>
  <si>
    <t>partner_function.updated_process_queue_id</t>
  </si>
  <si>
    <t>AA2405BE-8AEA-98E6-1538-36464AB2A064</t>
  </si>
  <si>
    <t>partner_function.inserted_date_time</t>
  </si>
  <si>
    <t>9D897351-080D-2DE1-D90C-D3CA7718EC21</t>
  </si>
  <si>
    <t>partner_function.updated_date_time</t>
  </si>
  <si>
    <t>D9A3F1C7-5B2E-4D8A-9C6F-1A7E3B2D6C8F</t>
  </si>
  <si>
    <t>partner_function.natural_key_hash</t>
  </si>
  <si>
    <t>practice_group_key</t>
  </si>
  <si>
    <t>B8F1C3D7-2E4A-4D9A-9C5F-1A7E3B2D6C8F</t>
  </si>
  <si>
    <t>practice_group.practice_group_key</t>
  </si>
  <si>
    <t>practice_group_code</t>
  </si>
  <si>
    <t>PracticeGroup</t>
  </si>
  <si>
    <t>3D7E1A9C-5B2F-4A6E-8D1C-7F3B9E2A4C6D</t>
  </si>
  <si>
    <t>practice_group.practice_group_code</t>
  </si>
  <si>
    <t>practice_group_description</t>
  </si>
  <si>
    <t>9636CEA3-E340-B1FF-4BE6-4032C0038BF3</t>
  </si>
  <si>
    <t>practice_group.practice_group_description</t>
  </si>
  <si>
    <t>practice_group_group</t>
  </si>
  <si>
    <t>21CEF1A9-4FD0-32D6-121F-F7AAB788CE8E</t>
  </si>
  <si>
    <t>practice_group.practice_group_group</t>
  </si>
  <si>
    <t>661352EC-472C-DD9A-EC85-4515A6116A05</t>
  </si>
  <si>
    <t>practice_group.is_active</t>
  </si>
  <si>
    <t>92A293EA-862E-5D7A-74F5-EA6A7E7E2AFA</t>
  </si>
  <si>
    <t>practice_group.source_system</t>
  </si>
  <si>
    <t>E8715C4B-E771-0F7C-BA46-E0DC41C0190D</t>
  </si>
  <si>
    <t>practice_group.inserted_process_instance_id</t>
  </si>
  <si>
    <t>43C48574-EDCC-C600-2EB9-7845568692E7</t>
  </si>
  <si>
    <t>practice_group.updated_process_instance_id</t>
  </si>
  <si>
    <t>201842BE-9EDA-6F82-AE52-53B80F528AF2</t>
  </si>
  <si>
    <t>practice_group.inserted_process_queue_id</t>
  </si>
  <si>
    <t>99EBD011-4910-A0BB-59D5-1FD4E7DF4A33</t>
  </si>
  <si>
    <t>practice_group.updated_process_queue_id</t>
  </si>
  <si>
    <t>B58D629E-965E-DE75-82D4-99EA616CB93B</t>
  </si>
  <si>
    <t>practice_group.inserted_date_time</t>
  </si>
  <si>
    <t>DC15AEE3-953A-DDB9-CF0E-8900ED89A815</t>
  </si>
  <si>
    <t>practice_group.updated_date_time</t>
  </si>
  <si>
    <t>762373F2-0087-AE8A-1D97-FFE06E4184BD</t>
  </si>
  <si>
    <t>practice_group.natural_key_hash</t>
  </si>
  <si>
    <t>team_key</t>
  </si>
  <si>
    <t>D1A7C3E9-4B2F-4D8A-9C5E-1F7A3B2D6C8F</t>
  </si>
  <si>
    <t>team.team_key</t>
  </si>
  <si>
    <t>team_code</t>
  </si>
  <si>
    <t>taxonomy_teams</t>
  </si>
  <si>
    <t>Team</t>
  </si>
  <si>
    <t>8E3B1A7C-5D2F-4A6E-8D1C-7F3B9E2A4C6D</t>
  </si>
  <si>
    <t>team.team_code</t>
  </si>
  <si>
    <t>SDGR1504: We need to add entries into the taxonomy for each member firm? Currently this is set to GPMS. Part of the Business Key</t>
  </si>
  <si>
    <t>C3C5C51D-3C99-AD37-294B-93346805EBC2</t>
  </si>
  <si>
    <t>team.member_firm_code</t>
  </si>
  <si>
    <t>team_id</t>
  </si>
  <si>
    <t>TeamID</t>
  </si>
  <si>
    <t xml:space="preserve">
See join condition below</t>
  </si>
  <si>
    <t>SDGR1504: Needed and assume 1:1 with sharepoint taxonomy and subteam id (except NRAUS and NRJAK where subteam n : 1 team</t>
  </si>
  <si>
    <t>35B4F539-9FBF-FBDC-30ED-8AC7CBBDA3DF</t>
  </si>
  <si>
    <t>team.team_id</t>
  </si>
  <si>
    <t>LEFT JOIN silver.taxonomy.taxonomy_teams tt ON pg.practice_group_code = tt.PracticeGroup (see below)</t>
  </si>
  <si>
    <t>26B12388-3FEC-852E-33CE-0F4542505589</t>
  </si>
  <si>
    <t>team.practice_group_key</t>
  </si>
  <si>
    <t>team_name</t>
  </si>
  <si>
    <t>DA522F48-FFEC-B3A0-37F4-DDB9EB5D3C9F</t>
  </si>
  <si>
    <t>team.team_name</t>
  </si>
  <si>
    <t>B0E3EA4B-F2AB-085B-D6E7-335EE8733619</t>
  </si>
  <si>
    <t>team.is_active</t>
  </si>
  <si>
    <t>C1B439F4-D7FF-7578-0132-F878C432D781</t>
  </si>
  <si>
    <t>team.source_system</t>
  </si>
  <si>
    <t>66560560-65DF-4C0D-2E60-B5449C31C195</t>
  </si>
  <si>
    <t>team.inserted_process_instance_id</t>
  </si>
  <si>
    <t>3B66A9DB-8C37-669D-A346-A174B62833E7</t>
  </si>
  <si>
    <t>team.updated_process_instance_id</t>
  </si>
  <si>
    <t>90DE5A57-26CF-BE77-9FB6-0AD237CD1BB0</t>
  </si>
  <si>
    <t>team.inserted_process_queue_id</t>
  </si>
  <si>
    <t>B9653451-3C6C-F7E2-8F48-C08557009CE2</t>
  </si>
  <si>
    <t>team.updated_process_queue_id</t>
  </si>
  <si>
    <t>7D92D359-5538-D871-7658-A3364BF887BB</t>
  </si>
  <si>
    <t>team.inserted_date_time</t>
  </si>
  <si>
    <t>B3C3FE1F-CCF7-6BF7-E495-5250AA8BCC5A</t>
  </si>
  <si>
    <t>team.updated_date_time</t>
  </si>
  <si>
    <t>81EB4247-1C94-697B-C620-D845BB4687C1</t>
  </si>
  <si>
    <t>team.natural_key_hash</t>
  </si>
  <si>
    <t>LEFT JOIN mds_subteam to taxonomy_teams ON mds_subteam.SubTeamCode = taxonomy_teams.Team AND mds_subteam.MemberFirmCode = taxonomy_teams.MemberFirm</t>
  </si>
  <si>
    <t>LEFT JOIN taxonomy_data_model.practice_group to taxonomy_teams ON practice_group .practice_group_code = taxonomy_teams .PracticeGroup</t>
  </si>
  <si>
    <t>transaction_document_type</t>
  </si>
  <si>
    <t>transaction_document_type_key</t>
  </si>
  <si>
    <t>C12B848B-C324-8647-D086-D5CB46D037AD</t>
  </si>
  <si>
    <t>transaction_document_type.transaction_document_type_key</t>
  </si>
  <si>
    <t>transaction_document_type_code</t>
  </si>
  <si>
    <t>taxonomy_transaction_document_type</t>
  </si>
  <si>
    <t>DocumentTypeCode</t>
  </si>
  <si>
    <t>264270E9-0311-E7ED-DB43-B735B678EDE5</t>
  </si>
  <si>
    <t>transaction_document_type.transaction_document_type_code</t>
  </si>
  <si>
    <t>transaction_document_type_description</t>
  </si>
  <si>
    <t>FD659D22-2886-D638-BAB8-A09190D3F1E3</t>
  </si>
  <si>
    <t>transaction_document_type.transaction_document_type_description</t>
  </si>
  <si>
    <t>E4CA2BA7-B57C-68F4-3AB0-9B8266695F4F</t>
  </si>
  <si>
    <t>transaction_document_type.is_active</t>
  </si>
  <si>
    <t>5332D0DD-5E43-4D7C-464A-096849B24F25</t>
  </si>
  <si>
    <t>transaction_document_type.source_system</t>
  </si>
  <si>
    <t>A510C49B-785D-1113-8067-3225668A7235</t>
  </si>
  <si>
    <t>transaction_document_type.inserted_process_instance_id</t>
  </si>
  <si>
    <t>9591F46E-9D0A-352E-4689-9AEAFF413704</t>
  </si>
  <si>
    <t>transaction_document_type.updated_process_instance_id</t>
  </si>
  <si>
    <t>F76E2994-E86D-51D9-61F2-DD5C4E7BF931</t>
  </si>
  <si>
    <t>transaction_document_type.inserted_process_queue_id</t>
  </si>
  <si>
    <t>9B11D160-1CF5-05A9-A7A1-659F4830E7FD</t>
  </si>
  <si>
    <t>transaction_document_type.updated_process_queue_id</t>
  </si>
  <si>
    <t>814F59EE-4543-A105-52A1-6AE82B8DB36A</t>
  </si>
  <si>
    <t>transaction_document_type.inserted_date_time</t>
  </si>
  <si>
    <t>B3F9370B-067D-73A3-A417-E96FA4112CB6</t>
  </si>
  <si>
    <t>transaction_document_type.updated_date_time</t>
  </si>
  <si>
    <t>EA7051B7-6F39-ADD6-78B0-DB4461D20AAA</t>
  </si>
  <si>
    <t>transaction_document_type.natural_key_hash</t>
  </si>
  <si>
    <t>work_type_key</t>
  </si>
  <si>
    <t>IDENTITY COLUMN (1,1), No Filtering Requirment</t>
  </si>
  <si>
    <t>F6A1C3D9-2E4B-4D8A-9C5F-1A7E3B2D6C8F</t>
  </si>
  <si>
    <t>work_type.work_type_key</t>
  </si>
  <si>
    <t>technical_area_code</t>
  </si>
  <si>
    <t>TechnicalAreaCode</t>
  </si>
  <si>
    <t>SDGR: This is the Business Key</t>
  </si>
  <si>
    <t>8FC9EC40-E4C2-3AE7-AF3B-EB218D86E922</t>
  </si>
  <si>
    <t>work_type.technical_area_code</t>
  </si>
  <si>
    <t>matter_type_code</t>
  </si>
  <si>
    <t>MatterTypeCode</t>
  </si>
  <si>
    <t>SDGR: Not part of the Business Key</t>
  </si>
  <si>
    <t>22163A67-C051-73F2-76AF-19C8D4F6CB6F</t>
  </si>
  <si>
    <t>work_type.matter_type_code</t>
  </si>
  <si>
    <t>service_area_code</t>
  </si>
  <si>
    <t>ServiceAreaCode</t>
  </si>
  <si>
    <t>393C1D9C-125E-5E55-7A08-ECC6E69F2FF7</t>
  </si>
  <si>
    <t>work_type.service_area_code</t>
  </si>
  <si>
    <t>technical_area_description</t>
  </si>
  <si>
    <t>TechAreaDescription</t>
  </si>
  <si>
    <t>EC949E26-6555-164E-1705-173B8E0E8E8C</t>
  </si>
  <si>
    <t>work_type.technical_area_description</t>
  </si>
  <si>
    <t>matter_type_description</t>
  </si>
  <si>
    <t>MatterTypeDescription</t>
  </si>
  <si>
    <t>3D2B312C-DFF6-EEF5-71B2-C240EDEA1476</t>
  </si>
  <si>
    <t>work_type.matter_type_description</t>
  </si>
  <si>
    <t>service_area_description</t>
  </si>
  <si>
    <t>ServiceAreaDescription</t>
  </si>
  <si>
    <t>E2CCD352-A228-81BB-7FD6-3414963A257D</t>
  </si>
  <si>
    <t>work_type.service_area_description</t>
  </si>
  <si>
    <t>B7E22752-61B8-9716-18CF-2A7897370AF7</t>
  </si>
  <si>
    <t>work_type.is_active</t>
  </si>
  <si>
    <t>CAA0D6BB-5309-F032-C3BB-DC592AA5F8C0</t>
  </si>
  <si>
    <t>work_type.source_system</t>
  </si>
  <si>
    <t>2C10C078-68FD-B6D1-4240-CC394057C91E</t>
  </si>
  <si>
    <t>work_type.inserted_process_instance_id</t>
  </si>
  <si>
    <t>2C28472F-C034-1E24-9F03-DA6836C950BF</t>
  </si>
  <si>
    <t>work_type.updated_process_instance_id</t>
  </si>
  <si>
    <t>9DE26184-BD60-29E8-4234-E1F2607370B4</t>
  </si>
  <si>
    <t>work_type.inserted_process_queue_id</t>
  </si>
  <si>
    <t>7C581B55-0485-7910-41D9-B78BAE2AE5F2</t>
  </si>
  <si>
    <t>work_type.updated_process_queue_id</t>
  </si>
  <si>
    <t>453ADACC-379D-B726-B0FB-2C4A55544C5E</t>
  </si>
  <si>
    <t>work_type.inserted_date_time</t>
  </si>
  <si>
    <t>7F46C47F-D815-CC98-916E-E90ED0414C0B</t>
  </si>
  <si>
    <t>work_type.updated_date_time</t>
  </si>
  <si>
    <t>26D82558-0D5B-1576-8C19-698A3C071F31</t>
  </si>
  <si>
    <t>work_type.natural_key_hash</t>
  </si>
  <si>
    <t>timecard_id</t>
  </si>
  <si>
    <t>TIMECARD_ID</t>
  </si>
  <si>
    <t>Unique identifier for the timecard entry.</t>
  </si>
  <si>
    <t>SDGR2204: FK and NK</t>
  </si>
  <si>
    <t>B2C3D4E5-F6A1-4B7C-8D9E-1B2C3D4E5F6A</t>
  </si>
  <si>
    <t>chronometrics.timecard_id</t>
  </si>
  <si>
    <t>client_number</t>
  </si>
  <si>
    <t>CLIENT_CODE</t>
  </si>
  <si>
    <t>Unique code identifying the client.</t>
  </si>
  <si>
    <t>044DC048-C493-02A9-FAA1-224EE90B075A</t>
  </si>
  <si>
    <t>chronometrics.client_number</t>
  </si>
  <si>
    <t>client_key</t>
  </si>
  <si>
    <t>JOIN using CLIENT_CODE = client_number</t>
  </si>
  <si>
    <t>C3D4E5F6-A1B2-4C7D-8E9F-2C3D4E5F6A1B</t>
  </si>
  <si>
    <t>chronometrics.client_key</t>
  </si>
  <si>
    <t>matter_number</t>
  </si>
  <si>
    <t>MATTER_CODE</t>
  </si>
  <si>
    <t>Unique code identifying the matter.</t>
  </si>
  <si>
    <t>BC4B1DBC-04D9-3655-B6C2-F6C80A0049D7</t>
  </si>
  <si>
    <t>chronometrics.matter_number</t>
  </si>
  <si>
    <t>MATTER_REGION_SRC</t>
  </si>
  <si>
    <t>Region source associated with the matter.</t>
  </si>
  <si>
    <t>E5F6A1B2-C3D4-4E7F-8A9B-4E5F6A1B2C3D</t>
  </si>
  <si>
    <t>chronometrics.member_firm_code</t>
  </si>
  <si>
    <t>matter_key</t>
  </si>
  <si>
    <t>JOIN using MATTER_CODE = matter_number</t>
  </si>
  <si>
    <t>D4E5F6A1-B2C3-4D7E-8F9A-3D4E5F6A1B2C</t>
  </si>
  <si>
    <t>chronometrics.matter_key</t>
  </si>
  <si>
    <t>group_matter_number</t>
  </si>
  <si>
    <t>GROUP_MATTER_CODE</t>
  </si>
  <si>
    <t>Group-level matter code if part of a consolidated group.</t>
  </si>
  <si>
    <t>629AF96F-1FD5-0FCF-8C66-ED9B85711A42</t>
  </si>
  <si>
    <t>chronometrics.group_matter_number</t>
  </si>
  <si>
    <t>group_matter_member_firm_code</t>
  </si>
  <si>
    <t>GROUP_MATTER_REGION_SRC</t>
  </si>
  <si>
    <t>564D1171-0506-5B36-CE02-E66CFBC57846</t>
  </si>
  <si>
    <t>chronometrics.group_matter_member_firm_code</t>
  </si>
  <si>
    <t>group_matter_key</t>
  </si>
  <si>
    <t>JOIN using GROUP_MATTER_CODE = matter_number</t>
  </si>
  <si>
    <t>F6A1B2C3-D4E5-4F7A-8B9C-5F6A1B2C3D4E</t>
  </si>
  <si>
    <t>chronometrics.group_matter_key</t>
  </si>
  <si>
    <t>matter_company_key</t>
  </si>
  <si>
    <t>JOIN using MATTER_COMPANY_CODE = company_code</t>
  </si>
  <si>
    <t>Company associated with the matter.</t>
  </si>
  <si>
    <t>2C3D4E5F-6A1B-427C-8D9E-7B2C3D4E5F6A</t>
  </si>
  <si>
    <t>chronometrics.matter_company_key</t>
  </si>
  <si>
    <t>matter_billable_type_code</t>
  </si>
  <si>
    <t>MATTER_BILLABLE_TYPE_CODE</t>
  </si>
  <si>
    <t>Code indicating whether the matter is billable or non-billable.</t>
  </si>
  <si>
    <t>SDGR2204: 1 = Billable 0 = Non-billable</t>
  </si>
  <si>
    <t>3D4E5F6A-1B2C-437D-8E9F-8C3D4E5F6A1B</t>
  </si>
  <si>
    <t>chronometrics.matter_billable_type_code</t>
  </si>
  <si>
    <t>matter_currency_code</t>
  </si>
  <si>
    <t>JOIN using MATTER_CURRENCY_CODE = currency_code</t>
  </si>
  <si>
    <t>Currency in which the matter is worked.</t>
  </si>
  <si>
    <t>4E5F6A1B-2C3D-447E-8F9A-9D4E5F6A1B2C</t>
  </si>
  <si>
    <t>chronometrics.matter_currency_code</t>
  </si>
  <si>
    <t>timekeeper_id</t>
  </si>
  <si>
    <t>TIMEKEEPER_ID</t>
  </si>
  <si>
    <t>Unique ID of the timekeeper.</t>
  </si>
  <si>
    <t>AD56341A-AF44-4159-C858-7DDA71DE2E61</t>
  </si>
  <si>
    <t>chronometrics.timekeeper_id</t>
  </si>
  <si>
    <t>timekeeper_member_firm_code</t>
  </si>
  <si>
    <t>FE_REGION_SRC_TRAN</t>
  </si>
  <si>
    <t>Region source associated with the timekeeper on the worked transaction date.</t>
  </si>
  <si>
    <t>7168D3AD-F176-AC42-11C9-B9E20B379567</t>
  </si>
  <si>
    <t>chronometrics.timekeeper_member_firm_code</t>
  </si>
  <si>
    <t>fe_person_key</t>
  </si>
  <si>
    <t>person_key</t>
  </si>
  <si>
    <t>JOIN using TIMEKEEPER_ID = timekeeper_id AND FE_REGION_SRC_TRAN = member_firm_code</t>
  </si>
  <si>
    <t>5F6A1B2C-3D4E-457F-8A9B-AE5F6A1B2C3D</t>
  </si>
  <si>
    <t>chronometrics.fe_person_key</t>
  </si>
  <si>
    <t>fe_company_key</t>
  </si>
  <si>
    <t>JOIN using FE_COMPANY_CODE_TRAN = company_code</t>
  </si>
  <si>
    <t>Company associated with the timekeeper as of the LastUpdateDt.</t>
  </si>
  <si>
    <t>6A1B2C3D-4E5F-467A-8B9C-BF6A1B2C3D4E</t>
  </si>
  <si>
    <t>chronometrics.fe_company_key</t>
  </si>
  <si>
    <t>fe_office_key</t>
  </si>
  <si>
    <t>JOIN using FE_OFFICE_CODE = office_code</t>
  </si>
  <si>
    <t>Office location code of the timekeeper as of the LastUpdateDt.</t>
  </si>
  <si>
    <t>7B2C3D4E-5F6A-477B-8C9D-C07B2C3D4E5F</t>
  </si>
  <si>
    <t>chronometrics.fe_office_key</t>
  </si>
  <si>
    <t>fe_practice_group_key</t>
  </si>
  <si>
    <t>JOIN using FE_PRACTICE_GROUP_CODE = practice_group_code</t>
  </si>
  <si>
    <t>Practice group code of the timekeeper as of the LastUpdateDt.</t>
  </si>
  <si>
    <t>8C3D4E5F-6A1B-487C-8D9E-D18C3D4E5F6A</t>
  </si>
  <si>
    <t>chronometrics.fe_practice_group_key</t>
  </si>
  <si>
    <t>fe_team_key</t>
  </si>
  <si>
    <t>JOIN uisng FE_TEAM_CODE = team_code</t>
  </si>
  <si>
    <t>Team of the timekeeper as of the LastUpdateDt.</t>
  </si>
  <si>
    <t>9D4E5F6A-1B2C-497D-8E9F-E29D4E5F6A1B</t>
  </si>
  <si>
    <t>chronometrics.fe_team_key</t>
  </si>
  <si>
    <t>fe_company_tran_key</t>
  </si>
  <si>
    <t>Company associated with the timekeeper on the worked transaction date.</t>
  </si>
  <si>
    <t>BF6A1B2C-3D4E-4B7F-8A9B-04BF6A1B2C3D</t>
  </si>
  <si>
    <t>chronometrics.fe_company_tran_key</t>
  </si>
  <si>
    <t>fe_office_tran_key</t>
  </si>
  <si>
    <t>JOIN using FE_OFFICE_CODE_TRAN = office_code</t>
  </si>
  <si>
    <t>Office associated with the timekeeper on the worked transaction date.</t>
  </si>
  <si>
    <t>C07B2C3D-4E5F-4C7A-8B9C-15C07B2C3D4E</t>
  </si>
  <si>
    <t>chronometrics.fe_office_tran_key</t>
  </si>
  <si>
    <t>fe_practice_group_tran_key</t>
  </si>
  <si>
    <t>JOIN using FE_PRACTICE_GROUP_CODE_TRAN = practice_group_code</t>
  </si>
  <si>
    <t>Practice group associated with the timekeeper on the worked transaction date.</t>
  </si>
  <si>
    <t>D18C3D4E-5F6A-4D7B-8C9D-26D18C3D4E5F</t>
  </si>
  <si>
    <t>chronometrics.fe_practice_group_tran_key</t>
  </si>
  <si>
    <t>fe_team_tran_key</t>
  </si>
  <si>
    <t>JOIN uisng FE_TEAM_CODE_TRAN= team_code</t>
  </si>
  <si>
    <t>Team associated with the timekeeper on the worked transaction date.</t>
  </si>
  <si>
    <t>E29D4E5F-6A1B-4E7C-8D9E-37E29D4E5F6A</t>
  </si>
  <si>
    <t>chronometrics.fe_team_tran_key</t>
  </si>
  <si>
    <t>fe_employee_sub_group_key</t>
  </si>
  <si>
    <t>JOIN uisng FE_SUB_GROUP_CODE = employee_sub_group_code</t>
  </si>
  <si>
    <t>Sub-group associated with the timekeeper on the worked transaction date.</t>
  </si>
  <si>
    <t>04BF6A1B-2C3D-407E-8F9A-5904BF6A1B2C</t>
  </si>
  <si>
    <t>chronometrics.fe_employee_sub_group_key</t>
  </si>
  <si>
    <t>fe_band_level_key</t>
  </si>
  <si>
    <t>JOIN using FE_BAND_LEVEL_CODE = band_level_code</t>
  </si>
  <si>
    <t>Band level associated with the timekeeper on the worked transaction date.</t>
  </si>
  <si>
    <t>26D18C3D-4E5F-427A-8B9C-7B26D18C3D4E</t>
  </si>
  <si>
    <t>chronometrics.fe_band_level_key</t>
  </si>
  <si>
    <t>timecard_worked_date</t>
  </si>
  <si>
    <t>TIMECARD_WORKED_DATE</t>
  </si>
  <si>
    <t>Date the work was performed (format YYYYMMDD).</t>
  </si>
  <si>
    <t>37E29D4E-5F6A-437B-8C9D-8C37E29D4E5F</t>
  </si>
  <si>
    <t>chronometrics.timecard_worked_date</t>
  </si>
  <si>
    <t>timecard_worked_cal_period</t>
  </si>
  <si>
    <t>TIMECARD_WORKED_CAL_PERIOD</t>
  </si>
  <si>
    <t>Calendar period for the worked time entry (format YYYYMM).</t>
  </si>
  <si>
    <t>48F3AE5F-6A1B-447C-8D9E-9D48F3AE5F6A</t>
  </si>
  <si>
    <t>chronometrics.timecard_worked_cal_period</t>
  </si>
  <si>
    <t>timecard_post_date</t>
  </si>
  <si>
    <t>TIMECARD_POST_DATE</t>
  </si>
  <si>
    <t>Date the time entry was posted in the system (format YYYYMMDD).</t>
  </si>
  <si>
    <t>A6EDC49C-7D07-7321-2DA2-9326242B0325</t>
  </si>
  <si>
    <t>chronometrics.timecard_post_date</t>
  </si>
  <si>
    <t>timecard_post_cal_period</t>
  </si>
  <si>
    <t>TIMECARD_POST_CAL_PERIOD</t>
  </si>
  <si>
    <t>Calendar period for the post date (format YYYYMM).</t>
  </si>
  <si>
    <t>8CA1AE00-D61A-A7A4-4684-B15C099C7F03</t>
  </si>
  <si>
    <t>chronometrics.timecard_post_cal_period</t>
  </si>
  <si>
    <t>confidential_flag</t>
  </si>
  <si>
    <t>CONFIDENTIAL_FLAG</t>
  </si>
  <si>
    <t>Flag indicating whether the matter and time entry are marked confidential.</t>
  </si>
  <si>
    <t>07B31A11-9F06-29F7-533D-102657E5AD91</t>
  </si>
  <si>
    <t>chronometrics.confidential_flag</t>
  </si>
  <si>
    <t>pricing_unit</t>
  </si>
  <si>
    <t>PRICING_UNIT</t>
  </si>
  <si>
    <t>Unit of measure used for pricing (e.g., WIP, BILLED, NONBILL, OTH).</t>
  </si>
  <si>
    <t>8C37E29D-4E5F-487A-8B9C-D18C37E29D4E</t>
  </si>
  <si>
    <t>chronometrics.pricing_unit</t>
  </si>
  <si>
    <t>hours_worked</t>
  </si>
  <si>
    <t>HOURS_WORKED</t>
  </si>
  <si>
    <t>float</t>
  </si>
  <si>
    <t>Total hours worked on the timecard entry.</t>
  </si>
  <si>
    <t>null</t>
  </si>
  <si>
    <t>9D48F3AE-5F6A-497B-8C9D-E29D48F3AE5F</t>
  </si>
  <si>
    <t>chronometrics.hours_worked</t>
  </si>
  <si>
    <t>timecard_narrative</t>
  </si>
  <si>
    <t>TIMECARD_NARRATIVE</t>
  </si>
  <si>
    <t>column masking required</t>
  </si>
  <si>
    <t>Text narrative describing the work performed in the time entry.</t>
  </si>
  <si>
    <t>AE5904BF-6A1B-4A7C-8D9E-F3AE5904BF6A</t>
  </si>
  <si>
    <t>chronometrics.timecard_narrative</t>
  </si>
  <si>
    <t>worked_standard_rate_dc</t>
  </si>
  <si>
    <t>WORKED_STANDARD_RATE_DC</t>
  </si>
  <si>
    <t>Timekeeper’s standard rate in document currency (DC).</t>
  </si>
  <si>
    <t>BF6A15C0-1B2C-4B7D-8E9F-04BF6A15C01B</t>
  </si>
  <si>
    <t>chronometrics.worked_standard_rate_dc</t>
  </si>
  <si>
    <t>fees_worked_at_standard_dc</t>
  </si>
  <si>
    <t>FEES_WORKED_AT_STANDARD_DC</t>
  </si>
  <si>
    <t>Worked fee value based on standard rates in document currency.</t>
  </si>
  <si>
    <t>C07B26D1-2C3D-4C7E-8F9A-15C07B26D12C</t>
  </si>
  <si>
    <t>chronometrics.fees_worked_at_standard_dc</t>
  </si>
  <si>
    <t>worked_agreed_rate_dc</t>
  </si>
  <si>
    <t>WORKED_AGREED_RATE_DC</t>
  </si>
  <si>
    <t>Timekeeper’s agreed rate in document currency.</t>
  </si>
  <si>
    <t>D18C37E2-3D4E-4D7F-8A9B-26D18C37E23D</t>
  </si>
  <si>
    <t>chronometrics.worked_agreed_rate_dc</t>
  </si>
  <si>
    <t>fees_worked_at_agreed_dc</t>
  </si>
  <si>
    <t>FEES_WORKED_AT_AGREED_DC</t>
  </si>
  <si>
    <t>Worked fee value based on agreed rates in document currency.</t>
  </si>
  <si>
    <t>E29D48F3-4E5F-4E7A-8B9C-37E29D48F34E</t>
  </si>
  <si>
    <t>chronometrics.fees_worked_at_agreed_dc</t>
  </si>
  <si>
    <t>matter_discount_dc</t>
  </si>
  <si>
    <t>MATTER_DISCOUNT_DC</t>
  </si>
  <si>
    <t>Additional discount applied to the matter from worked agreed fees, in document currency.</t>
  </si>
  <si>
    <t>F3AE5904-5F6A-4F7B-8C9D-48F3AE59045F</t>
  </si>
  <si>
    <t>chronometrics.matter_discount_dc</t>
  </si>
  <si>
    <t>wip_hours_write_up_down_value_dc</t>
  </si>
  <si>
    <t>WIP_HOURS_WRITE_UP_DOWN_VALUE_DC</t>
  </si>
  <si>
    <t>Write-up or write-down value on unbilled time in document currency.</t>
  </si>
  <si>
    <t>04BF6A15-6A1B-407C-8D9E-5904BF6A156A</t>
  </si>
  <si>
    <t>chronometrics.wip_hours_write_up_down_value_dc</t>
  </si>
  <si>
    <t>fees_worked_at_agreed_net_dc</t>
  </si>
  <si>
    <t>FEES_WORKED_AT_AGREED_NET_DC</t>
  </si>
  <si>
    <t>Worked fee value based on agreed rates, net of discounts, in document currency.</t>
  </si>
  <si>
    <t>15C07B26-1B2C-417D-8E9F-6A15C07B261B</t>
  </si>
  <si>
    <t>chronometrics.fees_worked_at_agreed_net_dc</t>
  </si>
  <si>
    <t>fees_billed_at_standard_dc</t>
  </si>
  <si>
    <t>FEES_BILLED_AT_STANDARD_DC</t>
  </si>
  <si>
    <t>Fees billed based on standard rates in document currency.</t>
  </si>
  <si>
    <t>26D18C37-2C3D-427E-8F9A-7B26D18C372C</t>
  </si>
  <si>
    <t>chronometrics.fees_billed_at_standard_dc</t>
  </si>
  <si>
    <t>fees_billed_at_agreed_dc</t>
  </si>
  <si>
    <t>FEES_BILLED_AT_AGREED_DC</t>
  </si>
  <si>
    <t>Fees billed based on agreed rates in document currency.</t>
  </si>
  <si>
    <t>37E29D48-3D4E-437F-8A9B-8C37E29D483D</t>
  </si>
  <si>
    <t>chronometrics.fees_billed_at_agreed_dc</t>
  </si>
  <si>
    <t>matter_discount_billed_dc</t>
  </si>
  <si>
    <t>MATTER_DISCOUNT_BILLED_DC</t>
  </si>
  <si>
    <t>Matter discount applied to billed fees in document currency.</t>
  </si>
  <si>
    <t>48F3AE59-4E5F-447A-8B9C-9D48F3AE594E</t>
  </si>
  <si>
    <t>chronometrics.matter_discount_billed_dc</t>
  </si>
  <si>
    <t>fees_billed_at_agreed_net_dc</t>
  </si>
  <si>
    <t>FEES_BILLED_AT_AGREED_NET_DC</t>
  </si>
  <si>
    <t>Fees billed net of matter discounts, in document currency.</t>
  </si>
  <si>
    <t>5904BF6A-5F6A-457B-8C9D-AE5904BF6A5F</t>
  </si>
  <si>
    <t>chronometrics.fees_billed_at_agreed_net_dc</t>
  </si>
  <si>
    <t>fees_write_up_down_dc</t>
  </si>
  <si>
    <t>FEES_WRITE_UP_DOWN_DC</t>
  </si>
  <si>
    <t>Fee value of write-ups or write-downs applied to fees in document currency.</t>
  </si>
  <si>
    <t>6A15C07B-6A1B-467C-8D9E-BF6A15C07B6A</t>
  </si>
  <si>
    <t>chronometrics.fees_write_up_down_dc</t>
  </si>
  <si>
    <t>hours_write_up_down_value_dc</t>
  </si>
  <si>
    <t>HOURS_WRITE_UP_DOWN_VALUE_DC</t>
  </si>
  <si>
    <t>Value of write-ups or write-downs applied to hours, expressed in document currency.</t>
  </si>
  <si>
    <t>7B26D18C-1B2C-477D-8E9F-C07B26D18C1B</t>
  </si>
  <si>
    <t>chronometrics.hours_write_up_down_value_dc</t>
  </si>
  <si>
    <t>worked_fees_billed_net_dc</t>
  </si>
  <si>
    <t>WORKED_FEES_BILLED_NET_DC</t>
  </si>
  <si>
    <t>Net billed fees after applying write-ups or write-downs to fees and hours, in document currency.</t>
  </si>
  <si>
    <t>8C37E29D-2C3D-487E-8F9A-D18C37E29D2C</t>
  </si>
  <si>
    <t>chronometrics.worked_fees_billed_net_dc</t>
  </si>
  <si>
    <t>bill_num</t>
  </si>
  <si>
    <t>BILL_NUM</t>
  </si>
  <si>
    <t>Unique identifier for the bill.</t>
  </si>
  <si>
    <t>9D48F3AE-3D4E-497F-8A9B-E29D48F3AE3D</t>
  </si>
  <si>
    <t>chronometrics.bill_num</t>
  </si>
  <si>
    <t>cancel_bill_num</t>
  </si>
  <si>
    <t>CANCEL_BILL_NUM</t>
  </si>
  <si>
    <t>Bill number of the cancelled invoice if this document is a cancellation.</t>
  </si>
  <si>
    <t>AE5904BF-4E5F-4A7A-8B9C-F3AE5904BF4E</t>
  </si>
  <si>
    <t>chronometrics.cancel_bill_num</t>
  </si>
  <si>
    <t>JOIN using BILL_TYPE = bill_type_code</t>
  </si>
  <si>
    <t>Type of bill issued (e.g., Client Invoice, Cancelled Bill, Credit Note).</t>
  </si>
  <si>
    <t>SDGR2204: Could be a reference table, I've asked DD</t>
  </si>
  <si>
    <t>BF6A15C0-5F6A-4B7B-8C9D-04BF6A15C05F</t>
  </si>
  <si>
    <t>chronometrics.bill_type_key</t>
  </si>
  <si>
    <t>bill_date</t>
  </si>
  <si>
    <t>BILL_DATE</t>
  </si>
  <si>
    <t>Date the bill was issued (format YYYYMMDD).</t>
  </si>
  <si>
    <t>C07B26D1-6A1B-4C7C-8D9E-15C07B26D16A</t>
  </si>
  <si>
    <t>chronometrics.bill_date</t>
  </si>
  <si>
    <t>bill_cal_period</t>
  </si>
  <si>
    <t>BILL_CAL_PERIOD</t>
  </si>
  <si>
    <t>Calendar period when the bill was issued (format YYYYMM).</t>
  </si>
  <si>
    <t>D18C37E2-1B2C-4D7D-8E9F-26D18C37E21B</t>
  </si>
  <si>
    <t>chronometrics.bill_cal_period</t>
  </si>
  <si>
    <t>bill_currency_code</t>
  </si>
  <si>
    <t>JOIN using BILL_CURRENCY_CODE = currency_code</t>
  </si>
  <si>
    <t>Currency in which the bill was issued.</t>
  </si>
  <si>
    <t>E29D48F3-2C3D-4E7E-8F9A-37E29D48F32C</t>
  </si>
  <si>
    <t>chronometrics.bill_currency_code</t>
  </si>
  <si>
    <t>hours_billed</t>
  </si>
  <si>
    <t>HOURS_BILLED</t>
  </si>
  <si>
    <t>Number of hours billed on the invoice.</t>
  </si>
  <si>
    <t>F3AE5904-3D4E-4F7F-8A9B-48F3AE59043D</t>
  </si>
  <si>
    <t>chronometrics.hours_billed</t>
  </si>
  <si>
    <t>fees_billed_dc</t>
  </si>
  <si>
    <t>FEES_BILLED_DC</t>
  </si>
  <si>
    <t>Total fees billed in document currency (equal to Worked Fees Billed Net DC).</t>
  </si>
  <si>
    <t>04BF6A15-4E5F-407A-8B9C-5904BF6A154E</t>
  </si>
  <si>
    <t>chronometrics.fees_billed_dc</t>
  </si>
  <si>
    <t>bad_debt_wo_dc</t>
  </si>
  <si>
    <t>BAD_DEBT_WO_DC</t>
  </si>
  <si>
    <t>Value of fees written off as bad debt in document currency (applies if the document is a credit memo or bad debt write-off).</t>
  </si>
  <si>
    <t>15C07B26-5F6A-417B-8C9D-6A15C07B265F</t>
  </si>
  <si>
    <t>chronometrics.bad_debt_wo_dc</t>
  </si>
  <si>
    <t>final_bill_num</t>
  </si>
  <si>
    <t>FINAL_BILL_NUM</t>
  </si>
  <si>
    <t>Final bill number if not cancelled.</t>
  </si>
  <si>
    <t>26D18C37-6A1B-427C-8D9E-7B26D18C376A</t>
  </si>
  <si>
    <t>chronometrics.final_bill_num</t>
  </si>
  <si>
    <t>final_bill_flag</t>
  </si>
  <si>
    <t>FINAL_BILL_FLAG</t>
  </si>
  <si>
    <t>Indicator showing whether this is the final bill (1 = final, 0 = not final).</t>
  </si>
  <si>
    <t>37E29D48-1B2C-437D-8E9F-8C37E29D481B</t>
  </si>
  <si>
    <t>chronometrics.final_bill_flag</t>
  </si>
  <si>
    <t>JOIN using MATERIAL_GROUP = entry_classification_code</t>
  </si>
  <si>
    <t>Material group classification (e.g., Fees, Soft Costs, Hard Costs).</t>
  </si>
  <si>
    <t>SDGR2204: Could be a reference table, I've asked DD
Rename to entry_classification_key</t>
  </si>
  <si>
    <t>48F3AE59-2C3D-447E-8F9A-9D48F3AE592C</t>
  </si>
  <si>
    <t>chronometrics.entry_classification_key</t>
  </si>
  <si>
    <t>collected_cal_period</t>
  </si>
  <si>
    <t>COLLECTED_CAL_PERIOD</t>
  </si>
  <si>
    <t>Calendar period when the payment was received (format YYYYMM).</t>
  </si>
  <si>
    <t>5904BF6A-3D4E-457F-8A9B-AE5904BF6A3D</t>
  </si>
  <si>
    <t>chronometrics.collected_cal_period</t>
  </si>
  <si>
    <t>collected_date</t>
  </si>
  <si>
    <t>COLLECTED_DATE</t>
  </si>
  <si>
    <t>Date the payment was received (format YYYYMMDD).</t>
  </si>
  <si>
    <t>6A15C07B-4E5F-467A-8B9C-BF6A15C07B4E</t>
  </si>
  <si>
    <t>chronometrics.collected_date</t>
  </si>
  <si>
    <t>hours_collected</t>
  </si>
  <si>
    <t>HOURS_COLLECTED</t>
  </si>
  <si>
    <t>Number of hours collected.</t>
  </si>
  <si>
    <t>7B26D18C-5F6A-477B-8C9D-C07B26D18C5F</t>
  </si>
  <si>
    <t>chronometrics.hours_collected</t>
  </si>
  <si>
    <t>fees_collected_dc</t>
  </si>
  <si>
    <t>FEES_COLLECTED_DC</t>
  </si>
  <si>
    <t>Total value of fees collected in document currency.</t>
  </si>
  <si>
    <t>8C37E29D-6A1B-487C-8D9E-D18C37E29D6A</t>
  </si>
  <si>
    <t>chronometrics.fees_collected_dc</t>
  </si>
  <si>
    <t>phase_set_code</t>
  </si>
  <si>
    <t>PHASE_SET_CODE</t>
  </si>
  <si>
    <t>Phase set code associated with the time entry.</t>
  </si>
  <si>
    <t>9D48F3AE-1B2C-497D-8E9F-E29D48F3AE1B</t>
  </si>
  <si>
    <t>chronometrics.phase_set_code</t>
  </si>
  <si>
    <t>phase_set_description</t>
  </si>
  <si>
    <t>PHASE_SET_DESC</t>
  </si>
  <si>
    <t>Description of the phase set associated with the time entry.</t>
  </si>
  <si>
    <t>AE5904BF-2C3D-4A7E-8F9A-F3AE5904BF2C</t>
  </si>
  <si>
    <t>chronometrics.phase_set_description</t>
  </si>
  <si>
    <t>phase_code</t>
  </si>
  <si>
    <t>PHASE_CODE</t>
  </si>
  <si>
    <t>Phase code associated with the time entry.</t>
  </si>
  <si>
    <t>BF6A15C0-3D4E-4B7F-8A9B-04BF6A15C03D</t>
  </si>
  <si>
    <t>chronometrics.phase_code</t>
  </si>
  <si>
    <t>phase_description</t>
  </si>
  <si>
    <t>PHASE_DESC</t>
  </si>
  <si>
    <t>Description of the phase code associated with the time entry.</t>
  </si>
  <si>
    <t>C07B26D1-4E5F-4C7A-8B9C-15C07B26D14E</t>
  </si>
  <si>
    <t>chronometrics.phase_description</t>
  </si>
  <si>
    <t>task_code</t>
  </si>
  <si>
    <t>TASK_CODE</t>
  </si>
  <si>
    <t>Task code associated with the time entry.</t>
  </si>
  <si>
    <t>D18C37E2-5F6A-4D7B-8C9D-26D18C37E25F</t>
  </si>
  <si>
    <t>chronometrics.task_code</t>
  </si>
  <si>
    <t>task_description</t>
  </si>
  <si>
    <t>TASK_DESC</t>
  </si>
  <si>
    <t>Description of the task code associated with the time entry.</t>
  </si>
  <si>
    <t>E29D48F3-6A1B-4E7C-8D9E-37E29D48F36A</t>
  </si>
  <si>
    <t>chronometrics.task_description</t>
  </si>
  <si>
    <t>activity_code</t>
  </si>
  <si>
    <t>ACTIVITY_CODE</t>
  </si>
  <si>
    <t>Activity code associated with the time entry.</t>
  </si>
  <si>
    <t>F3AE5904-1B2C-4F7D-8E9F-48F3AE59041B</t>
  </si>
  <si>
    <t>chronometrics.activity_code</t>
  </si>
  <si>
    <t>activity_description</t>
  </si>
  <si>
    <t>ACTIVITY_DESC</t>
  </si>
  <si>
    <t>Description of the activity code associated with the time entry.</t>
  </si>
  <si>
    <t>04BF6A15-2C3D-407E-8F9A-5904BF6A152C</t>
  </si>
  <si>
    <t>chronometrics.activity_description</t>
  </si>
  <si>
    <t>fixed_fee_activity_code</t>
  </si>
  <si>
    <t>FIXED_FEE_ACTIVITY_CODE</t>
  </si>
  <si>
    <t>Code for fixed fee activity.</t>
  </si>
  <si>
    <t>SDGR2204: Could be a reference table, I've asked DD
No Reference table needed</t>
  </si>
  <si>
    <t>15C07B26-3D4E-417F-8A9B-6A15C07B263D</t>
  </si>
  <si>
    <t>chronometrics.fixed_fee_activity_code</t>
  </si>
  <si>
    <t>fixed_fee_activity_description</t>
  </si>
  <si>
    <t>FIXED_FEE_ACTIVITY_DESC</t>
  </si>
  <si>
    <t>max</t>
  </si>
  <si>
    <t>Description for the fixed fee activity (e.g., Fixed Fee Matter, Standard Hourly, etc.).</t>
  </si>
  <si>
    <t>26D18C37-4E5F-427A-8B9C-7B26D18C374E</t>
  </si>
  <si>
    <t>chronometrics.fixed_fee_activity_description</t>
  </si>
  <si>
    <t>last_updated_date_utc_at_source</t>
  </si>
  <si>
    <t>LastUpdateDt</t>
  </si>
  <si>
    <t>The date and time the record was last updated.</t>
  </si>
  <si>
    <t>SDGR: UTC</t>
  </si>
  <si>
    <t>37E29D48-5F6A-437B-8C9D-8C37E29D485F</t>
  </si>
  <si>
    <t>chronometrics.last_updated_date_utc_at_source</t>
  </si>
  <si>
    <t>48F3AE59-6A1B-447C-8D9E-9D48F3AE596A</t>
  </si>
  <si>
    <t>chronometrics.source_system</t>
  </si>
  <si>
    <t>CC124197-A87A-AFFF-07D8-CAE4EE01D1D7</t>
  </si>
  <si>
    <t>chronometrics.inserted_process_instance_id</t>
  </si>
  <si>
    <t>6B797A9D-3F93-29A2-1788-31AD6EE4704F</t>
  </si>
  <si>
    <t>chronometrics.updated_process_instance_id</t>
  </si>
  <si>
    <t>F6B5E998-7A84-710D-6B20-DF355341F795</t>
  </si>
  <si>
    <t>chronometrics.inserted_process_queue_id</t>
  </si>
  <si>
    <t>9B3F1A7C-5E2D-4D8A-9C6F-1A7E3B2D6C8F</t>
  </si>
  <si>
    <t>chronometrics.updated_process_queue_id</t>
  </si>
  <si>
    <t>C7A1E3D9-2B4F-4A8C-9D6E-3F1A7B2C5D8E</t>
  </si>
  <si>
    <t>chronometrics.inserted_date_time</t>
  </si>
  <si>
    <t>4E8A1C7D-2D9F-4B6C-8E1F-7B3D2A5C9E6F</t>
  </si>
  <si>
    <t>chronometrics.updated_date_time</t>
  </si>
  <si>
    <t>F1C9E3D7-5B2F-4F8A-9D6E-3C7A1B2D5E8F</t>
  </si>
  <si>
    <t>chronometrics.natural_key_hash</t>
  </si>
  <si>
    <t>Table to be populated with sample data from Internal Excel Upload as a temporary placeholder</t>
  </si>
  <si>
    <t>Sample Data for Transactional Schemas.xlsx</t>
  </si>
  <si>
    <t>Type = Fact</t>
  </si>
  <si>
    <t>Load method = Append</t>
  </si>
  <si>
    <t>The assumption is the last_updated_date_utc_at_source is always consistent from the regions – they don’t restate old records with a new timestamp. If this isn’t the case, we would probably need to move to a full load approach instead as it would be almost 100% impossible to determine if the old record is no longer valid.</t>
  </si>
  <si>
    <t>The out of region entities have been built using the same chronometrics data (with the same append only approach as above), and a filter is applied on the group_matter_member_firm code, e.g. for Canada it would be the following:-
WHERE group_matter_member_firm_code IN('NRFC','CANADA') 
AND timekeeper_member_firm_code &lt;&gt; group_matter_member_firm_code</t>
  </si>
  <si>
    <t>Canada - NRFCAN, CANADA : US - NRFUS, USA : EMEA - NRFLLP, EMEAPAC : Australia - NRAUS, NRJAK</t>
  </si>
  <si>
    <t>SDGR2104: Group Matter - I found no evidence of this from the MDS, where is it defined?</t>
  </si>
  <si>
    <t xml:space="preserve">  </t>
  </si>
  <si>
    <t>ClientId</t>
  </si>
  <si>
    <t>Unique identifier for the client from CMI</t>
  </si>
  <si>
    <t>SDGR: Should be Foreign Key and Natural Key</t>
  </si>
  <si>
    <t>B7070CF3-0AEF-28DE-54EA-88B71183E176</t>
  </si>
  <si>
    <t>client_financials.client_number</t>
  </si>
  <si>
    <t>Sending region</t>
  </si>
  <si>
    <t>SDGR: Should be Business Key</t>
  </si>
  <si>
    <t>90035FA1-7340-D1F2-9F23-ABEE993EF827</t>
  </si>
  <si>
    <t>client_financials.member_firm_code</t>
  </si>
  <si>
    <t>JOIN using ClientId = client_number</t>
  </si>
  <si>
    <t>04CAD3D6-972D-49C5-9BE2-F88CD4CEB1D0</t>
  </si>
  <si>
    <t>client_financials.client_key</t>
  </si>
  <si>
    <t>total_wip</t>
  </si>
  <si>
    <t>TotalWIP</t>
  </si>
  <si>
    <t>decimal</t>
  </si>
  <si>
    <t>38,2</t>
  </si>
  <si>
    <t>Value of total unbilled time on all matters for the client in USD​</t>
  </si>
  <si>
    <t>B593B9B1-88AA-1EB2-8E73-8AC2A82AAEFF</t>
  </si>
  <si>
    <t>client_financials.total_wip</t>
  </si>
  <si>
    <t>last_wip_date</t>
  </si>
  <si>
    <t>LastWIPDate</t>
  </si>
  <si>
    <t>Date of the latest WIP entry for client in​ UTC Date format</t>
  </si>
  <si>
    <t>625B93B2-35FE-C94F-0D09-43B65F96832E</t>
  </si>
  <si>
    <t>client_financials.last_wip_date</t>
  </si>
  <si>
    <t>total_ar</t>
  </si>
  <si>
    <t>TotalAR</t>
  </si>
  <si>
    <t>Total billing not yet paid for client in USD​</t>
  </si>
  <si>
    <t>1230ABB9-B141-7ED3-3B1D-B2B30E86AAE1</t>
  </si>
  <si>
    <t>client_financials.total_ar</t>
  </si>
  <si>
    <t>last_bill_date</t>
  </si>
  <si>
    <t>LastBillDate</t>
  </si>
  <si>
    <t>Date of last bill for the client in UTC Date format​</t>
  </si>
  <si>
    <t>342FD51A-D553-3E55-7015-2AD6E9355BE3</t>
  </si>
  <si>
    <t>client_financials.last_bill_date</t>
  </si>
  <si>
    <t>trust_funds_balance</t>
  </si>
  <si>
    <t>TrustFundsBalance</t>
  </si>
  <si>
    <t>Balance of Trust Funds related to the client​</t>
  </si>
  <si>
    <t>2B9A349D-D6A2-3A1D-B79F-D28815AC0029</t>
  </si>
  <si>
    <t>client_financials.trust_funds_balance</t>
  </si>
  <si>
    <t>unallocated_funds_balance</t>
  </si>
  <si>
    <t>UnallocatedFundsBalance</t>
  </si>
  <si>
    <t>Total of all unallocated funds for the client in USD​</t>
  </si>
  <si>
    <t>D4D32A7F-7830-2970-7797-25F86A5EF612</t>
  </si>
  <si>
    <t>client_financials.unallocated_funds_balance</t>
  </si>
  <si>
    <t>retainer_funds_balance</t>
  </si>
  <si>
    <t>RetainerFundsBalance</t>
  </si>
  <si>
    <t>Total of all outstanding retainer funds for the client in USD​</t>
  </si>
  <si>
    <t>5A9F2DE8-FA35-B03D-AC23-CDF8102B7640</t>
  </si>
  <si>
    <t>client_financials.retainer_funds_balance</t>
  </si>
  <si>
    <t>client_currency_code</t>
  </si>
  <si>
    <t>Join using ClientCurrency = currency_code</t>
  </si>
  <si>
    <t>Currency all values in this record have been converted into​</t>
  </si>
  <si>
    <t>EB401043-8243-E498-500B-E2C2C4A4A6B0</t>
  </si>
  <si>
    <t>client_financials.client_currency_code</t>
  </si>
  <si>
    <t>LoadTimeStamp</t>
  </si>
  <si>
    <t>Date this record was received in UTC Date format​</t>
  </si>
  <si>
    <t>4C68F720-33D1-095E-CFA0-C69E3B0DE707</t>
  </si>
  <si>
    <t>client_financials.last_updated_date_utc_at_source</t>
  </si>
  <si>
    <t>F054FDE4-E6E1-60EB-C781-E8E9C7C64EF8</t>
  </si>
  <si>
    <t>client_financials.source_system</t>
  </si>
  <si>
    <t>29F20E09-7295-C2A7-C15F-4B1B8D7A7609</t>
  </si>
  <si>
    <t>client_financials.inserted_process_instance_id</t>
  </si>
  <si>
    <t>DBBD8E9B-EF06-4947-D708-965C49EADA14</t>
  </si>
  <si>
    <t>client_financials.updated_process_instance_id</t>
  </si>
  <si>
    <t>E06B2592-0953-3B8E-4DED-0C096EC43489</t>
  </si>
  <si>
    <t>client_financials.inserted_process_queue_id</t>
  </si>
  <si>
    <t>806D016F-BF43-34C6-55E7-1D42D32F8091</t>
  </si>
  <si>
    <t>client_financials.updated_process_queue_id</t>
  </si>
  <si>
    <t>05ADF4B2-C47F-B0AE-25EC-BB0C9CB74818</t>
  </si>
  <si>
    <t>client_financials.inserted_date_time</t>
  </si>
  <si>
    <t>2B0CF406-75F0-5177-DECF-4F261F607C04</t>
  </si>
  <si>
    <t>client_financials.updated_date_time</t>
  </si>
  <si>
    <t>F1E113B4-FA5A-EEF8-551D-0F2B231246BB</t>
  </si>
  <si>
    <t>client_financials.natural_key_hash</t>
  </si>
  <si>
    <t>Client&amp;MatterFinancials.xlsx</t>
  </si>
  <si>
    <t>Source schema of real data slightly different to sample data. See here:</t>
  </si>
  <si>
    <t>Transactional Templates MASTER.xlsx</t>
  </si>
  <si>
    <t>Filters:</t>
  </si>
  <si>
    <t>Obtain the latest with partition by ClientId and member_firm_code and order by COALESCE(ProcessTimeStamp, LoadTimeStamp) desc</t>
  </si>
  <si>
    <t>unit</t>
  </si>
  <si>
    <t>UNIT</t>
  </si>
  <si>
    <t>UPPER(UNIT)</t>
  </si>
  <si>
    <t>The unit of measure for the transaction (e.g., ACTUAL, BUDGET, FORECAST).</t>
  </si>
  <si>
    <t>E556082D-12B7-6897-BD15-C18216E73806</t>
  </si>
  <si>
    <t>efi.unit</t>
  </si>
  <si>
    <t>COMPANY_CODE</t>
  </si>
  <si>
    <t>JOIN using COMPANY_CODE</t>
  </si>
  <si>
    <t>Code identifying the company associated with the transaction.</t>
  </si>
  <si>
    <t>8C8D5069-B8A6-478F-5A6E-1D86555934F8</t>
  </si>
  <si>
    <t>efi.company_key</t>
  </si>
  <si>
    <t>COMPANY_REGION_SRC</t>
  </si>
  <si>
    <t>Region source linked to the company.</t>
  </si>
  <si>
    <t>A145A603-128A-9466-24D0-46BE6F2653B6</t>
  </si>
  <si>
    <t>efi.member_firm_code</t>
  </si>
  <si>
    <t>cost_centre_key</t>
  </si>
  <si>
    <t>JOIN using COST_CENTRE_CODE AND cost_centre.is_active = true</t>
  </si>
  <si>
    <t>Code representing the cost center, formed by concatenating the Office, Practice, and Team codes.</t>
  </si>
  <si>
    <t>2C45C858-85BE-2C35-3766-0C66F276FCBA</t>
  </si>
  <si>
    <t>efi.cost_centre_key</t>
  </si>
  <si>
    <t>gl_account_code</t>
  </si>
  <si>
    <t>GL_ACCOUNT_CODE</t>
  </si>
  <si>
    <t>CAST(GL_ACCOUNT_CODE AS STRING)</t>
  </si>
  <si>
    <t>General Ledger account code for the transaction.</t>
  </si>
  <si>
    <t>0CD1AAFA-7077-DA77-6F4D-3D0891ACB84D</t>
  </si>
  <si>
    <t>efi.gl_account_code</t>
  </si>
  <si>
    <t>JOIN using FE_CODE = timekeeper_id AND person_record_rank = 1</t>
  </si>
  <si>
    <t>Unique timekeeper ID related to the transaction, if applicable.</t>
  </si>
  <si>
    <t>SDGR2304: FK rename fe_person_key</t>
  </si>
  <si>
    <t>DDEB094A-5FBB-46BE-75DA-A86F6595D0C2</t>
  </si>
  <si>
    <t>efi.fe_person_key</t>
  </si>
  <si>
    <t>JOIN using FE_PRACTICE_GROUP_CODE</t>
  </si>
  <si>
    <t>Practice group of the timekeeper related to the transaction.</t>
  </si>
  <si>
    <t>8661D454-E35D-092D-75AD-FA0792C1BBB3</t>
  </si>
  <si>
    <t>efi.fe_practice_group_key</t>
  </si>
  <si>
    <t>JOIN using FE_OFFICE_CODE</t>
  </si>
  <si>
    <t>Office of the timekeeper related to the transaction.</t>
  </si>
  <si>
    <t>7CEB4ADF-6712-633F-63E1-883187A5C7B6</t>
  </si>
  <si>
    <t>efi.fe_office_key</t>
  </si>
  <si>
    <t>JOIN using FE_TEAM_CODE</t>
  </si>
  <si>
    <t>Team of the timekeeper related to the transaction.</t>
  </si>
  <si>
    <t>304EB3EE-7799-F781-655A-5DB409C90BEB</t>
  </si>
  <si>
    <t>efi.fe_team_key</t>
  </si>
  <si>
    <t>lead_partner_person_key</t>
  </si>
  <si>
    <t>JOIN using LEAD_PARTNER_CODE = timekeeper_id AND person_record_rank = 1</t>
  </si>
  <si>
    <t>Unique timekeeper ID of the lead partner related to the transaction, if applicable.</t>
  </si>
  <si>
    <t>SDGR2204: Rename lead_partner_person_key</t>
  </si>
  <si>
    <t>8C55C413-CC51-7A5A-992D-7646E71AA1EE</t>
  </si>
  <si>
    <t>efi.lead_partner_person_key</t>
  </si>
  <si>
    <t>lead_partner_practice_group_key</t>
  </si>
  <si>
    <t>JOIN using LEAD_PARTNER_PRACTICE_GROUP_CODE</t>
  </si>
  <si>
    <t>Practice group of the lead partner related to the transaction.</t>
  </si>
  <si>
    <t>55E4D893-6B70-B928-478B-E45F586FD90D</t>
  </si>
  <si>
    <t>efi.lead_partner_practice_group_key</t>
  </si>
  <si>
    <t>lead_partner_office_key</t>
  </si>
  <si>
    <t>JOIN using LEAD_PARTNER_OFFICE_CODE</t>
  </si>
  <si>
    <t>Office location of the lead partner related to the transaction.</t>
  </si>
  <si>
    <t>477BD417-D73D-4DD1-00DB-7F8033C5EDAA</t>
  </si>
  <si>
    <t>efi.lead_partner_office_key</t>
  </si>
  <si>
    <t>lead_partner_team_key</t>
  </si>
  <si>
    <t>JOIN using LEAD_PARTNER_TEAM_CODE</t>
  </si>
  <si>
    <t>Team of the lead partner related to the transaction.</t>
  </si>
  <si>
    <t>A9A3CE26-0352-F3AC-EDDD-C818714F2658</t>
  </si>
  <si>
    <t>efi.lead_partner_team_key</t>
  </si>
  <si>
    <t>Unique code identifying the matter associated with the transaction.</t>
  </si>
  <si>
    <t>6D4EECBF-3C6E-7080-994B-4FF14C2E178E</t>
  </si>
  <si>
    <t>efi.matter_key</t>
  </si>
  <si>
    <t>vendor_code</t>
  </si>
  <si>
    <t>VENDOR_CODE</t>
  </si>
  <si>
    <t>Unique code identifying the vendor or external party involved in the transaction.</t>
  </si>
  <si>
    <t>24B3CD75-FF67-08AC-E708-0DECDDAFF94B</t>
  </si>
  <si>
    <t>efi.vendor_code</t>
  </si>
  <si>
    <t>document_text</t>
  </si>
  <si>
    <t>DOCUMENT_TEXT</t>
  </si>
  <si>
    <t>Text description or memo associated with the financial document.</t>
  </si>
  <si>
    <t>0F702F6A-5DCD-5C92-5770-253CFA0C02A2</t>
  </si>
  <si>
    <t>efi.document_text</t>
  </si>
  <si>
    <t>document_date</t>
  </si>
  <si>
    <t>DOCUMENT_DATE</t>
  </si>
  <si>
    <t>Date of the financial document (format YYYYMMDD).</t>
  </si>
  <si>
    <t>E9164EC8-298F-3DB5-27C4-52396A8F340B</t>
  </si>
  <si>
    <t>efi.document_date</t>
  </si>
  <si>
    <t>document_number</t>
  </si>
  <si>
    <t>DOCUMENT_NUMBER</t>
  </si>
  <si>
    <t>CAST(DOCUMENT_NUMBER AS STRING)</t>
  </si>
  <si>
    <t>Unique identifier for the financial document.</t>
  </si>
  <si>
    <t>SDGR2204: BK</t>
  </si>
  <si>
    <t>639E6BC5-3E2C-D630-93A3-6DD1594766B8</t>
  </si>
  <si>
    <t>efi.document_number</t>
  </si>
  <si>
    <t>JOIN using DOCUMENT_TYPE_CODE</t>
  </si>
  <si>
    <t>Code representing the type of financial document (e.g., Invoice, Journal Entry).</t>
  </si>
  <si>
    <t>DF: Taxonomy needed?Yes</t>
  </si>
  <si>
    <t>A2B05533-80A8-EC1C-5C3B-E651D583C7B9</t>
  </si>
  <si>
    <t>efi.transaction_document_type_key</t>
  </si>
  <si>
    <t>posting_period</t>
  </si>
  <si>
    <t>POSTING_PERIOD</t>
  </si>
  <si>
    <t>CAST(POSTING_PERIOD AS STRING)</t>
  </si>
  <si>
    <t>Calendar period when the GL entry was created (format YYYYMM).</t>
  </si>
  <si>
    <t>02DCF8F3-E02A-1DDF-1071-42D44305A2FA</t>
  </si>
  <si>
    <t>efi.posting_period</t>
  </si>
  <si>
    <t>posting_date</t>
  </si>
  <si>
    <t>POSTING_DATE</t>
  </si>
  <si>
    <t>Date the transaction was posted to the ledger (format YYYYMMDD).</t>
  </si>
  <si>
    <t>E2AF0897-7DD5-F100-9913-135D22567EB9</t>
  </si>
  <si>
    <t>efi.posting_date</t>
  </si>
  <si>
    <t>document_currency_code</t>
  </si>
  <si>
    <t>JOIN using DOCUMENT_CURRENCY_CODE</t>
  </si>
  <si>
    <t>Currency in which the financial document is denominated.</t>
  </si>
  <si>
    <t>SDGR2304: FK to Currency</t>
  </si>
  <si>
    <t>62A7CC04-21C7-CBC6-3A98-91623F1C9DDA</t>
  </si>
  <si>
    <t>efi.document_currency_code</t>
  </si>
  <si>
    <t>actual_amount_dc</t>
  </si>
  <si>
    <t>ACTUAL_AMOUNT_DC</t>
  </si>
  <si>
    <t>Actual transaction amount in document currency (DC).</t>
  </si>
  <si>
    <t>F1D9829D-BBEF-9279-6DCF-F4CAF7316D11</t>
  </si>
  <si>
    <t>efi.actual_amount_dc</t>
  </si>
  <si>
    <t>office_currency_code</t>
  </si>
  <si>
    <t>JOIN using OFFICE_CURRENCY_CODE</t>
  </si>
  <si>
    <t>Currency of the office where the transaction occurred.</t>
  </si>
  <si>
    <t>BEBC7FB6-0445-9A25-9568-D828B4B0E3C3</t>
  </si>
  <si>
    <t>efi.office_currency_code</t>
  </si>
  <si>
    <t>actual_amount_oc</t>
  </si>
  <si>
    <t>ACTUAL_AMOUNT_OC</t>
  </si>
  <si>
    <t>Actual transaction amount in office currency (OC).</t>
  </si>
  <si>
    <t>14EE7577-FA18-2BC2-B1C6-67D98C7F04EB</t>
  </si>
  <si>
    <t>efi.actual_amount_oc</t>
  </si>
  <si>
    <t>group_currency_code</t>
  </si>
  <si>
    <t>JOIN using GROUP_CURRENCY_CODE</t>
  </si>
  <si>
    <t>Currency code used for global group reporting (e.g., USD).</t>
  </si>
  <si>
    <t>E0792E10-9096-55E0-D313-BAB1E5302188</t>
  </si>
  <si>
    <t>efi.group_currency_code</t>
  </si>
  <si>
    <t>actual_amount_gc</t>
  </si>
  <si>
    <t>ACTUAL_AMOUNT_GC</t>
  </si>
  <si>
    <t>Actual transaction amount in group currency (e.g., USD).</t>
  </si>
  <si>
    <t>E8B4C1F9-CEBE-F861-57A1-B62086DF39DC</t>
  </si>
  <si>
    <t>efi.actual_amount_gc</t>
  </si>
  <si>
    <t>budget_amount_gc</t>
  </si>
  <si>
    <t>BUDGET_AMOUNT_GC</t>
  </si>
  <si>
    <t>Budgeted amount for the transaction in group currency (e.g., USD).</t>
  </si>
  <si>
    <t>64B2252B-294B-1B12-B12A-7CE93D4B5972</t>
  </si>
  <si>
    <t>efi.budget_amount_gc</t>
  </si>
  <si>
    <t>forecast_amount_gc</t>
  </si>
  <si>
    <t>FORECAST_AMOUNT_GC</t>
  </si>
  <si>
    <t>Forecasted amount for the transaction in group currency (e.g., USD).</t>
  </si>
  <si>
    <t>8A10F35A-F135-1E1E-F947-84066418663F</t>
  </si>
  <si>
    <t>efi.forecast_amount_gc</t>
  </si>
  <si>
    <t>LastUpdateDT</t>
  </si>
  <si>
    <t>1B37123D-1B50-81C3-BFBE-80132796367A</t>
  </si>
  <si>
    <t>efi.last_updated_date_utc_at_source</t>
  </si>
  <si>
    <t>EA3B88B2-07E9-8696-178F-93C4E6273A4E</t>
  </si>
  <si>
    <t>efi.source_system</t>
  </si>
  <si>
    <t>833997DF-7C89-EF9D-F3DF-8115A20273C1</t>
  </si>
  <si>
    <t>efi.inserted_process_instance_id</t>
  </si>
  <si>
    <t>4D80BD3B-ED2F-E84E-828C-1555BF482F63</t>
  </si>
  <si>
    <t>efi.updated_process_instance_id</t>
  </si>
  <si>
    <t>F7C91E2B-3BC5-0E54-8175-ABDF36EC6802</t>
  </si>
  <si>
    <t>efi.inserted_process_queue_id</t>
  </si>
  <si>
    <t>F719FCAD-CF38-A177-8EED-0FAFA85353F5</t>
  </si>
  <si>
    <t>efi.updated_process_queue_id</t>
  </si>
  <si>
    <t>FA63BED5-B68F-8C1F-F149-54CF4E221150</t>
  </si>
  <si>
    <t>efi.inserted_date_time</t>
  </si>
  <si>
    <t>BBF029B7-7010-BDEC-9480-7262D316A580</t>
  </si>
  <si>
    <t>efi.updated_date_time</t>
  </si>
  <si>
    <t>8E7C1A9D-3F2B-4D6A-9C5E-1A7B3D2C6F8E</t>
  </si>
  <si>
    <t>efi.natural_key_hash</t>
  </si>
  <si>
    <t>SDGR: Some of this is a repitition of Taxonomy Master Data. I am also concerned this is based on SAP 'documents', is there an Aderant equivalent? Talk to Lee.</t>
  </si>
  <si>
    <t>DF: what are the natural key(s) that make record unique</t>
  </si>
  <si>
    <t>BM: lots of duplicates in raw data with only actual amounts that differ: do they want only one record per document number? If so will need to sum and group by</t>
  </si>
  <si>
    <t>MatterId</t>
  </si>
  <si>
    <t>Unique identifier for the matter from CMI​</t>
  </si>
  <si>
    <t>SDGR: FK and NK</t>
  </si>
  <si>
    <t>F3A7C1D9-2E4B-4D6A-9C5F-1A7E3B2D6C8F</t>
  </si>
  <si>
    <t>matter_financials.matter_key</t>
  </si>
  <si>
    <t>2B7E1C9D-5A2F-4A6E-8D1C-7F3B9E2A4C6D</t>
  </si>
  <si>
    <t>matter_financials.member_firm_code</t>
  </si>
  <si>
    <t>JOIN using MatterId = matter.matter_number</t>
  </si>
  <si>
    <t>0A83312E-C9DA-2C47-E83E-9AD636CCCC46</t>
  </si>
  <si>
    <t>client_number column missing from sample data</t>
  </si>
  <si>
    <t>Unique identifier for the matter’s client from CMI​</t>
  </si>
  <si>
    <t>699F7BEF-D4AF-BCFE-419B-B460BEA3C911</t>
  </si>
  <si>
    <t>matter_financials.client_number</t>
  </si>
  <si>
    <t>client_number column missing from sample data so this join not possible</t>
  </si>
  <si>
    <t>6CE5FCFB-7E09-CAA8-EDDA-357A57AA1DCB</t>
  </si>
  <si>
    <t>matter_financials.client_key</t>
  </si>
  <si>
    <t>Value of total unbilled time on matter in USD​</t>
  </si>
  <si>
    <t>F606AE7F-B321-45BC-11CD-6461BAB83F59</t>
  </si>
  <si>
    <t>matter_financials.total_wip</t>
  </si>
  <si>
    <t>Date of the latest WIP entry for matter in​ UTC Date format</t>
  </si>
  <si>
    <t>0907AE0E-20B7-152F-9FA5-97BF6014E183</t>
  </si>
  <si>
    <t>matter_financials.last_wip_date</t>
  </si>
  <si>
    <t>Total billing not yet paid for matter in USD​</t>
  </si>
  <si>
    <t>960E07BE-5CD2-714D-62CA-837519A0BC6A</t>
  </si>
  <si>
    <t>matter_financials.total_ar</t>
  </si>
  <si>
    <t>total_fees_billed</t>
  </si>
  <si>
    <t>TotalFeesBilled</t>
  </si>
  <si>
    <t>Total billing for matter in USD</t>
  </si>
  <si>
    <t>SDGR2104: Added this for EM but it doesn't need to go through to CMI</t>
  </si>
  <si>
    <t>02E88A3E-004B-D930-A27D-A3225D3D677B</t>
  </si>
  <si>
    <t>matter_financials.total_fees_billed</t>
  </si>
  <si>
    <t>Date of last bill for the matter in UTC Date format​</t>
  </si>
  <si>
    <t>57C2EA77-3DC3-14CE-A1AF-B12AF172552E</t>
  </si>
  <si>
    <t>matter_financials.last_bill_date</t>
  </si>
  <si>
    <t>Balance of Trust Funds related to the matter​</t>
  </si>
  <si>
    <t>FCE41046-2945-3CFE-6D11-DA2DB944ECE6</t>
  </si>
  <si>
    <t>matter_financials.trust_funds_balance</t>
  </si>
  <si>
    <t>Total of all unallocated funds for the matter in USD​</t>
  </si>
  <si>
    <t>A6CB5580-3C89-755B-34C4-0D90F85F76BB</t>
  </si>
  <si>
    <t>matter_financials.unallocated_funds_balance</t>
  </si>
  <si>
    <t>Total of all outstanding retainer funds for the matter in USD​</t>
  </si>
  <si>
    <t>45DED86A-1D40-C067-7A10-F113CC97EB34</t>
  </si>
  <si>
    <t>matter_financials.retainer_funds_balance</t>
  </si>
  <si>
    <t>Join using MatterCurrency = currency_code</t>
  </si>
  <si>
    <t>C187FCF3-2407-AF38-CB1F-C54964CAA0A1</t>
  </si>
  <si>
    <t>matter_financials.client_currency_code</t>
  </si>
  <si>
    <t>C7EA4E05-3201-BBB6-93A1-8A576DC0B207</t>
  </si>
  <si>
    <t>matter_financials.last_updated_date_utc_at_source</t>
  </si>
  <si>
    <t>7956A9DB-837B-3339-05A3-EF57A1B86B4E</t>
  </si>
  <si>
    <t>matter_financials.source_system</t>
  </si>
  <si>
    <t>B80A3F68-DAD1-F01B-EAC6-510913752972</t>
  </si>
  <si>
    <t>matter_financials.inserted_process_instance_id</t>
  </si>
  <si>
    <t>F6B7A6A9-C695-8A44-29C2-D918B7B91AA1</t>
  </si>
  <si>
    <t>matter_financials.updated_process_instance_id</t>
  </si>
  <si>
    <t>C734B15F-0CE9-4AD5-C2D4-416B8AD4CDC6</t>
  </si>
  <si>
    <t>matter_financials.inserted_process_queue_id</t>
  </si>
  <si>
    <t>B4852C1C-E983-A8F8-6F3F-830F02B01C4C</t>
  </si>
  <si>
    <t>matter_financials.updated_process_queue_id</t>
  </si>
  <si>
    <t>1280C187-47BE-A01A-D4F7-8B333E0A2FB7</t>
  </si>
  <si>
    <t>matter_financials.inserted_date_time</t>
  </si>
  <si>
    <t>912ABE4A-EA36-36E8-8794-7B8C400F1F18</t>
  </si>
  <si>
    <t>matter_financials.updated_date_time</t>
  </si>
  <si>
    <t>5CB4EA9F-0A72-9A76-312E-6D509D75C20E</t>
  </si>
  <si>
    <t>matter_financials.natural_key_hash</t>
  </si>
  <si>
    <t>Obtain the latest with partition by MatterId and member_firm_code and order by COALESCE(ProcessTimeStamp, LoadTimeStamp) desc</t>
  </si>
  <si>
    <t>calendar_day</t>
  </si>
  <si>
    <t>CALENDAR_DAY</t>
  </si>
  <si>
    <t>The calendar date represented as a datetime value.</t>
  </si>
  <si>
    <t>SDGR: Business Key ? SDGR to check</t>
  </si>
  <si>
    <t>7915D099-BAB2-C7C3-6CA0-D8C9B6B0CD46</t>
  </si>
  <si>
    <t>tme.calendar_day</t>
  </si>
  <si>
    <t>Unique identifier for the timekeeper or employee.</t>
  </si>
  <si>
    <t>SDGR: Foreign Key to Person. Business Key</t>
  </si>
  <si>
    <t>8697677C-C67C-01CD-7216-ED3DFB3567C9</t>
  </si>
  <si>
    <t>tme.timekeeper_id</t>
  </si>
  <si>
    <t>REGION_SRC</t>
  </si>
  <si>
    <t>The regional source code indicating the origin of the record.</t>
  </si>
  <si>
    <t>SDGR: Rename Member Firm Code</t>
  </si>
  <si>
    <t>6B3E1A7C-5D2F-4A6E-8D1C-7F3B9E2A4C6D</t>
  </si>
  <si>
    <t>tme.member_firm_code</t>
  </si>
  <si>
    <t>JOIN using TIMEKEEPER_ID = person.timekeeper_id</t>
  </si>
  <si>
    <t>0F41479D-80DE-DBE4-63FD-16E5278D2B64</t>
  </si>
  <si>
    <t>time.person_key</t>
  </si>
  <si>
    <t>gender</t>
  </si>
  <si>
    <t>GENDER</t>
  </si>
  <si>
    <t>Gender of the timekeeper or employee, if recorded.</t>
  </si>
  <si>
    <t>983DA5AE-C99C-F91A-FCE1-618A884355DF</t>
  </si>
  <si>
    <t>tme.gender</t>
  </si>
  <si>
    <t>PRACTICE_GROUP_CODE</t>
  </si>
  <si>
    <t>JOIN using PRACTICE_GROUP_CODE</t>
  </si>
  <si>
    <t>Code representing the practice group associated with the timekeeper or employee.</t>
  </si>
  <si>
    <t>A3BACBBC-EE11-CD2D-D6CA-2147AB6E87A1</t>
  </si>
  <si>
    <t>tme.practice_group_key</t>
  </si>
  <si>
    <t>OFFICE_CODE</t>
  </si>
  <si>
    <t>JOIN using OFFICE_CODE</t>
  </si>
  <si>
    <t>Code representing the office location of the timekeeper or employee.</t>
  </si>
  <si>
    <t>D1EF6159-4361-FC38-7466-1BF295550CFA</t>
  </si>
  <si>
    <t>tme.office_key</t>
  </si>
  <si>
    <t>TEAM_CODE</t>
  </si>
  <si>
    <t>JOIN using TEAM_CODE</t>
  </si>
  <si>
    <t>Code representing the team to which the timekeeper or employee belongs.</t>
  </si>
  <si>
    <t>SDGR: Should this be SUB TEAM CODE?</t>
  </si>
  <si>
    <t>DE59430F-85DF-A39A-8A45-84CA24C48557</t>
  </si>
  <si>
    <t>tme.team_key</t>
  </si>
  <si>
    <t>EMP_SUB_GROUP_CODE</t>
  </si>
  <si>
    <t>JOIN using EMP_SUB_GROUP_CODE</t>
  </si>
  <si>
    <t>Code representing the employee’s sub-group classification for more detailed categorization.</t>
  </si>
  <si>
    <t>3BE1B0C9-0412-93A5-A291-62C09D34BEAC</t>
  </si>
  <si>
    <t>tme.employee_sub_group_key</t>
  </si>
  <si>
    <t>BAND_LEVEL_CODE</t>
  </si>
  <si>
    <t>JOIN using BAND_LEVEL_CODE</t>
  </si>
  <si>
    <t>Code representing the band level classification of the employee.</t>
  </si>
  <si>
    <t>FC82468C-2FFA-B0CA-11A5-E6396EB7A0B1</t>
  </si>
  <si>
    <t>tme.band_level_key</t>
  </si>
  <si>
    <t>fte</t>
  </si>
  <si>
    <t>FTE</t>
  </si>
  <si>
    <t>Full-Time Equivalent value indicating the employee’s employment capacity (e.g., 1.0 = full time, 0.5 = half time).</t>
  </si>
  <si>
    <t>66DA1A9E-5E23-F8E7-42C0-923C2903CBDB</t>
  </si>
  <si>
    <t>tme.fte</t>
  </si>
  <si>
    <t>employment_status_code</t>
  </si>
  <si>
    <t>EMPLOYMENT_STATUS_CODE</t>
  </si>
  <si>
    <t>Code representing the employment status of the employee (e.g., ACTIVE, LEAVE OF ABSENCE (LOA), TERMINATED).</t>
  </si>
  <si>
    <t>3BC11821-DA8D-EEA7-19EF-D09799835207</t>
  </si>
  <si>
    <t>tme.employment_status_code</t>
  </si>
  <si>
    <t>employment_status_description</t>
  </si>
  <si>
    <t>EMPLOYMENT_STATUS_DESC</t>
  </si>
  <si>
    <t>Description of the employment status code for the employee.</t>
  </si>
  <si>
    <t>EB4DA920-54C6-1A42-3B74-934B07CAC029</t>
  </si>
  <si>
    <t>tme.employment_status_description</t>
  </si>
  <si>
    <t>workday_flag</t>
  </si>
  <si>
    <t>WORKDAY_FLAG</t>
  </si>
  <si>
    <t>Flag indicating whether the calendar day is a scheduled workday (1 = Yes, 0 = No).</t>
  </si>
  <si>
    <t>388A2740-56B5-E4F8-7070-351C94150C2C</t>
  </si>
  <si>
    <t>tme.workday_flag</t>
  </si>
  <si>
    <t>weekend_flag</t>
  </si>
  <si>
    <t>WEEKEND_FLAG</t>
  </si>
  <si>
    <t>Flag indicating whether the calendar day is a weekend day (1 = Yes, 0 = No).</t>
  </si>
  <si>
    <t>8C4E8362-FFA0-DBB7-3BC2-FF2BD33D466C</t>
  </si>
  <si>
    <t>tme.weekend_flag</t>
  </si>
  <si>
    <t>holiday_flag</t>
  </si>
  <si>
    <t>HOLIDAY_FLAG</t>
  </si>
  <si>
    <t>Flag indicating whether the calendar day is a designated holiday (1 = Yes, 0 = No).</t>
  </si>
  <si>
    <t>02733743-7F42-C4F4-EA9F-497A8DF9192E</t>
  </si>
  <si>
    <t>tme.holiday_flag</t>
  </si>
  <si>
    <t>target_hours</t>
  </si>
  <si>
    <t>TARGET_HOURS</t>
  </si>
  <si>
    <t>The target number of hours the timekeeper is expected to work in the period. This field is typically not populated for non-timekeepers.</t>
  </si>
  <si>
    <t>83453391-92A2-73BC-3241-EDC3217A5794</t>
  </si>
  <si>
    <t>tme.target_hours</t>
  </si>
  <si>
    <t>billable_hours</t>
  </si>
  <si>
    <t>BILLABLE_HOURS</t>
  </si>
  <si>
    <t>Total billable hours recorded by the timekeeper in the period. Not populated for non-timekeepers.</t>
  </si>
  <si>
    <t>D16B2B4E-8F36-C761-8156-929EC54CBFC6</t>
  </si>
  <si>
    <t>tme.billable_hours</t>
  </si>
  <si>
    <t>non_billable_hours</t>
  </si>
  <si>
    <t>NON_BILLABLE_HOURS</t>
  </si>
  <si>
    <t>Total non-billable hours recorded by the timekeeper in the period. Not populated for non-timekeepers.</t>
  </si>
  <si>
    <t>6168B3BE-D3C8-7141-FCE9-C019CAC9E56E</t>
  </si>
  <si>
    <t>tme.non_billable_hours</t>
  </si>
  <si>
    <t>pro_bono_hours</t>
  </si>
  <si>
    <t>PRO_BONO_HOURS</t>
  </si>
  <si>
    <t>Total hours recorded by the timekeeper for pro bono work in the period. Not populated for non-timekeepers.</t>
  </si>
  <si>
    <t>86A3F6E0-E39A-2229-7C05-731CABAC35A7</t>
  </si>
  <si>
    <t>tme.pro_bono_hours</t>
  </si>
  <si>
    <t>firm_related_hours</t>
  </si>
  <si>
    <t>FIRM_RELATED_HOURS</t>
  </si>
  <si>
    <t>Total hours recorded by the timekeeper for firm-related activities in the period. Not populated for non-timekeepers.</t>
  </si>
  <si>
    <t>F89A897F-6958-1436-1942-A3BC35748E73</t>
  </si>
  <si>
    <t>tme.firm_related_hours</t>
  </si>
  <si>
    <t>leave_hours</t>
  </si>
  <si>
    <t>LEAVE_HOURS</t>
  </si>
  <si>
    <t>Total hours recorded as leave taken by the timekeeper or employee in the period. May be relevant for both timekeepers and non-timekeepers.</t>
  </si>
  <si>
    <t>5C7E1A9D-2B3F-4D8A-9C6F-1F7A3B2D6C8E</t>
  </si>
  <si>
    <t>tme.leave_hours</t>
  </si>
  <si>
    <t>part_time_hours</t>
  </si>
  <si>
    <t>PART_TIME_HOURS</t>
  </si>
  <si>
    <t>Total hours worked by the employee in the period if working part-time. May be relevant for both timekeepers and non-timekeepers.</t>
  </si>
  <si>
    <t>7A3D1C9E-5B2F-4A6E-8D1C-7F3B9E2A4C6E</t>
  </si>
  <si>
    <t>tme.part_time_hours</t>
  </si>
  <si>
    <t>9B2F1A7C-5E3D-4D8A-9C6F-1A7E3B2D6C8D</t>
  </si>
  <si>
    <t>tme.last_updated_date_utc_at_source</t>
  </si>
  <si>
    <t>C1A7E3D9-2B4F-4A8C-9D6E-3F1A7B2C5D8C</t>
  </si>
  <si>
    <t>tme.source_system</t>
  </si>
  <si>
    <t>E2F8A1C7-3E4B-4D9A-9C5F-1A7E3B2D6C8B</t>
  </si>
  <si>
    <t>tme.inserted_process_instance_id</t>
  </si>
  <si>
    <t>F3A7C1D9-2E4B-4D6A-9C5F-1A7E3B2D6C8A</t>
  </si>
  <si>
    <t>tme.updated_process_instance_id</t>
  </si>
  <si>
    <t>1B7E1C9D-5A2F-4A6E-8D1C-7F3B9E2A4C69</t>
  </si>
  <si>
    <t>tme.inserted_process_queue_id</t>
  </si>
  <si>
    <t>2C9D1A7E-5B3F-4D8A-9C6F-1A7E3B2D6C68</t>
  </si>
  <si>
    <t>tme.updated_process_queue_id</t>
  </si>
  <si>
    <t>3D7A1C9E-5B2F-4A6E-8D1C-7F3B9E2A4C67</t>
  </si>
  <si>
    <t>tme.inserted_date_time</t>
  </si>
  <si>
    <t>4E1C9A7D-2F5B-4D8A-9C6F-1A7E3B2D6C66</t>
  </si>
  <si>
    <t>tme.updated_date_time</t>
  </si>
  <si>
    <t>7D3A1C9E-5B2F-4A6E-8D1C-7F3B9E2A4C6D</t>
  </si>
  <si>
    <t>tme.natural_key_hash</t>
  </si>
  <si>
    <t>exchange_rate_key</t>
  </si>
  <si>
    <t>B2F1C9D7-4E3A-4D8A-9C5F-1A7E3B2D6C8F</t>
  </si>
  <si>
    <t>exchange_rate.exchange_rate_key</t>
  </si>
  <si>
    <t>from_currency_code</t>
  </si>
  <si>
    <t>mds_exchangerates</t>
  </si>
  <si>
    <t>FromCurrency</t>
  </si>
  <si>
    <t>SDGR2104: FK and NK - Currency taxonomy</t>
  </si>
  <si>
    <t>6D3E1A7C-5B2F-4A6E-8D1C-7F3B9E2A4C6D</t>
  </si>
  <si>
    <t>exchange_rate.from_currency_code</t>
  </si>
  <si>
    <t>oanda_fx_rates_usd</t>
  </si>
  <si>
    <t>base_currency</t>
  </si>
  <si>
    <t>oanda_fx_rates_usd_last_month_avg</t>
  </si>
  <si>
    <t>budget_fx_rates</t>
  </si>
  <si>
    <t>"USD"</t>
  </si>
  <si>
    <t>Hard coded value</t>
  </si>
  <si>
    <t>to_currency_code</t>
  </si>
  <si>
    <t>ToCurrency</t>
  </si>
  <si>
    <t>3660769F-DAF8-5011-D3CD-4CB47882CA7A</t>
  </si>
  <si>
    <t>exchange_rate.to_currency_code</t>
  </si>
  <si>
    <t>rate_date</t>
  </si>
  <si>
    <t>RateDate</t>
  </si>
  <si>
    <t>8C0ADEF8-E9DF-D376-04F7-A44C7448DB34</t>
  </si>
  <si>
    <t>exchange_rate.rate_date</t>
  </si>
  <si>
    <t>date</t>
  </si>
  <si>
    <t>date_rate</t>
  </si>
  <si>
    <t>rate_type</t>
  </si>
  <si>
    <t>RateType</t>
  </si>
  <si>
    <t>CASE WHEN RateType = 'M' THEN 'B' WHEN RateType = 'B' THEN 'M' ELSE RateType END</t>
  </si>
  <si>
    <t>DE1F6616-1E17-59DE-0809-E5ECA347F92B</t>
  </si>
  <si>
    <t>exchange_rate.rate_type</t>
  </si>
  <si>
    <t>"B"</t>
  </si>
  <si>
    <t>"M"</t>
  </si>
  <si>
    <t>"P"</t>
  </si>
  <si>
    <t>ExchangeRate</t>
  </si>
  <si>
    <t>NULL</t>
  </si>
  <si>
    <t>CDFD9DF1-7BA6-7158-4290-5C4D879D31E2</t>
  </si>
  <si>
    <t>exchange_rate.exchange_rate</t>
  </si>
  <si>
    <t>bid</t>
  </si>
  <si>
    <t>38,5</t>
  </si>
  <si>
    <t>FYBudgetRates</t>
  </si>
  <si>
    <t>from_ratio</t>
  </si>
  <si>
    <t>FromRatio</t>
  </si>
  <si>
    <t>7EFAF3C7-C5BF-CBAB-E621-985003E2A39B</t>
  </si>
  <si>
    <t>exchange_rate.from_ratio</t>
  </si>
  <si>
    <t>to_ratio</t>
  </si>
  <si>
    <t>ToRatio</t>
  </si>
  <si>
    <t>2DF922B7-7958-B144-1F9E-89C581687C88</t>
  </si>
  <si>
    <t>exchange_rate.to_ratio</t>
  </si>
  <si>
    <t>last_updated_date_at_utc_source</t>
  </si>
  <si>
    <t>LastUpdatedDate</t>
  </si>
  <si>
    <t>0A569C52-76B8-612F-AE96-D6B4BEF205BD</t>
  </si>
  <si>
    <t>exchange_rate.last_updated_date_at_utc_source</t>
  </si>
  <si>
    <t>coalesce(updated_date_time, inserted_date_time)</t>
  </si>
  <si>
    <t>ED6828D1-6687-7A93-DA5F-D8A5CB2E0056</t>
  </si>
  <si>
    <t>exchange_rate.source_system</t>
  </si>
  <si>
    <t>C83F1AF1-D92F-FCDC-C86D-877166F11295</t>
  </si>
  <si>
    <t>exchange_rate.inserted_process_instance_id</t>
  </si>
  <si>
    <t>2648BFF4-9322-0D5E-C3B4-0685951BA0D9</t>
  </si>
  <si>
    <t>exchange_rate.updated_process_instance_id</t>
  </si>
  <si>
    <t>FF6A2B0E-60B9-E6E4-87CD-DDAEC16605B4</t>
  </si>
  <si>
    <t>exchange_rate.inserted_process_queue_id</t>
  </si>
  <si>
    <t>27B32785-518F-A336-D702-AE287AE15034</t>
  </si>
  <si>
    <t>exchange_rate.updated_process_queue_id</t>
  </si>
  <si>
    <t>F0C5B65C-ABF9-4E5A-FB40-3BA77CD67CCF</t>
  </si>
  <si>
    <t>exchange_rate.inserted_date_time</t>
  </si>
  <si>
    <t>1441C29A-2557-DF65-E16F-CC72B5E16C2A</t>
  </si>
  <si>
    <t>exchange_rate.updated_date_time</t>
  </si>
  <si>
    <t>15E2F67A-4A67-D2F7-ABEB-1266FF27B481</t>
  </si>
  <si>
    <t>exchange_rate.natural_key_hash</t>
  </si>
  <si>
    <t>Join and Filter Conditions:</t>
  </si>
  <si>
    <t xml:space="preserve">MDS data to take precendence until the maximum date from MDS, then use Oanda as the source
</t>
  </si>
  <si>
    <t>MDS data filtered to RateDate &lt;&gt; 1900-01-01 AND FromCurrency = "USD" AND ToCurrency != 'VEF'</t>
  </si>
  <si>
    <t>Union mds_exchange_rates with oanda_fx_rates_usd and with oanda_fx_rates_usd_last_month_avg and with budget_fx_rates</t>
  </si>
  <si>
    <t xml:space="preserve">Set rate_type to "B" for data from oanda_fx_rates_usd </t>
  </si>
  <si>
    <t xml:space="preserve">Set rate_type to "M" for data from oanda_fx_rates_usd_last_month_avg </t>
  </si>
  <si>
    <t>Set rate_type to "P" for data from budget_fx_rates</t>
  </si>
  <si>
    <t>SDGR1604: There's a missing business process for Budget Rates ('P' for Planned) - these rates will need to come from the Business rather than the API, s I assume a different Bronze-&gt;Silver ingestion but could be merged into the Gold exchange_rates</t>
  </si>
  <si>
    <t>SDGR2104: DD We need a reference in the taxonomy table (not to be ingested) where B = Daily Rate, M = Monthly Rate and P = Planned Budget Rate</t>
  </si>
  <si>
    <t>DF: What date should be used to cutover from MDS to OANDA?</t>
  </si>
  <si>
    <t>address_key</t>
  </si>
  <si>
    <t>3F7A9C4D-8B2E-4E6A-9F1C-2D5A7B8C9E01</t>
  </si>
  <si>
    <t>address.address_key</t>
  </si>
  <si>
    <t>address_id</t>
  </si>
  <si>
    <t>SourceSystemID</t>
  </si>
  <si>
    <t xml:space="preserve">CONVERT(NVARCHAR(50), SourceSystemID) </t>
  </si>
  <si>
    <t>26AF8228-2E82-0AFA-BFEE-2B79410F661D</t>
  </si>
  <si>
    <t>address.address_id</t>
  </si>
  <si>
    <t>ClientNumber</t>
  </si>
  <si>
    <t>JOIN TO mds_client on EntityID = ClientID to obtain column</t>
  </si>
  <si>
    <t>address.client_number</t>
  </si>
  <si>
    <t>MemberFirmCode</t>
  </si>
  <si>
    <t>address.member_firm_code</t>
  </si>
  <si>
    <t>A1D4F2B7-6C3E-4A9D-B8F2-7E1C5D3A9B60</t>
  </si>
  <si>
    <t>address.client_key</t>
  </si>
  <si>
    <t>address_type_code</t>
  </si>
  <si>
    <t>AddressTypeCode</t>
  </si>
  <si>
    <t>SDGR: Always defaulted to 'B' and will not join to Address_Type</t>
  </si>
  <si>
    <t>79ED1CF4-2035-7BFF-9E8E-57148175827C</t>
  </si>
  <si>
    <t>address.address_type_code</t>
  </si>
  <si>
    <t>address_1</t>
  </si>
  <si>
    <t>Address1</t>
  </si>
  <si>
    <t>REPLACE(Address#, CHAR(9), '') &amp;
REPLACE(Address#, CHAR(10), '') &amp;
REPLACE(Address#, CHAR(12), '') &amp;
REPLACE(Address#, CHAR(13), '') &amp;
REPLACE(Address#, CHAR(22), '') &amp;
REPLACE(Address#, CHAR(32), '')</t>
  </si>
  <si>
    <t>99D7CA8E-5361-A91E-A63F-D144F9A52458</t>
  </si>
  <si>
    <t>address.address_1</t>
  </si>
  <si>
    <t>address_2</t>
  </si>
  <si>
    <t>Address2</t>
  </si>
  <si>
    <t>59F0C23E-F8EE-3E13-1ED2-111EB3D26400</t>
  </si>
  <si>
    <t>address.address_2</t>
  </si>
  <si>
    <t>address_3</t>
  </si>
  <si>
    <t>Address3</t>
  </si>
  <si>
    <t>6DCD1BA1-48AB-784D-6C8C-EED063DE3F64</t>
  </si>
  <si>
    <t>address.address_3</t>
  </si>
  <si>
    <t>address_4</t>
  </si>
  <si>
    <t>Address4</t>
  </si>
  <si>
    <t>6B971F94-EFB4-48A7-0F2D-6754783F9050</t>
  </si>
  <si>
    <t>address.address_4</t>
  </si>
  <si>
    <t>address_5</t>
  </si>
  <si>
    <t>Address5</t>
  </si>
  <si>
    <t>5E6B5A14-5063-D103-43EC-5F51BC16A0CD</t>
  </si>
  <si>
    <t>address.address_5</t>
  </si>
  <si>
    <t>97311417-CA97-69EC-78BC-9207D97E9668</t>
  </si>
  <si>
    <t>address.city</t>
  </si>
  <si>
    <t>JOIN mds_address to MDS_Country with CountryID and then join to taxonomy_data_model.country on CountryCode to obtain column</t>
  </si>
  <si>
    <t>SDGR: Will be an ISO2 Code (nvarchar 2) not a surrogate Key</t>
  </si>
  <si>
    <t>A667F6EF-4717-E569-4928-37E626297008</t>
  </si>
  <si>
    <t>address.country_code_iso2</t>
  </si>
  <si>
    <t>state</t>
  </si>
  <si>
    <t>State</t>
  </si>
  <si>
    <t>69C0254C-FAC1-FC3A-9A97-C32F014DCD73</t>
  </si>
  <si>
    <t>address.state</t>
  </si>
  <si>
    <t>zip_code</t>
  </si>
  <si>
    <t>B57C6CE2-4F89-58F7-4188-A3AEF5ED2934</t>
  </si>
  <si>
    <t>address.zip_code</t>
  </si>
  <si>
    <t>street_address_check</t>
  </si>
  <si>
    <t>CONCAT(Address1 , Address2, Address3, Address4 Address5) use cleansed version of each Address</t>
  </si>
  <si>
    <t>53E13972-B7D2-E284-D8F3-46D00994D592</t>
  </si>
  <si>
    <t>address.street_address_check</t>
  </si>
  <si>
    <t>4A8DE3D5-90D0-A744-5DC7-3B2DB45278AA</t>
  </si>
  <si>
    <t>address.is_active</t>
  </si>
  <si>
    <t>LastUpdatedDateGMT</t>
  </si>
  <si>
    <t>131BDC07-9758-A435-3C51-BED8A2B94E03</t>
  </si>
  <si>
    <t>address.last_updated_date_utc_at_source</t>
  </si>
  <si>
    <t>A1F3C9D2-7B6E-4C5A-9F21-8D3E7B4C1A90</t>
  </si>
  <si>
    <t>address.source_system</t>
  </si>
  <si>
    <t>F7B2E4A1-3C9D-4E8A-B6F2-1D9C7A3E5B80</t>
  </si>
  <si>
    <t>address.inserted_process_instance_id</t>
  </si>
  <si>
    <t>9C1A7E3D-5B4F-4D2A-A8E3-7F1C9B6D2E40</t>
  </si>
  <si>
    <t>address.updated_process_instance_id</t>
  </si>
  <si>
    <t>3E7A1C9B-6D2F-4B5A-8C3E-1A9D7F2B4C60</t>
  </si>
  <si>
    <t>address.inserted_process_queue_id</t>
  </si>
  <si>
    <t>B4C2A7D9-1E3F-4C6A-9B8E-2D7F1A3C5E90</t>
  </si>
  <si>
    <t>address.updated_process_queue_id</t>
  </si>
  <si>
    <t>7D1A3C5E-9B4F-4A2C-8E6D-3F7B1C9A2E80</t>
  </si>
  <si>
    <t>address.inserted_date_time</t>
  </si>
  <si>
    <t>C9B4F2E1-7A3D-4E6C-8F1A-5D2B7C3E9A60</t>
  </si>
  <si>
    <t>address.updated_date_time</t>
  </si>
  <si>
    <t>2E7C1A3D-9B5F-4C8A-6D1E-7F3B2A9C4E80</t>
  </si>
  <si>
    <t>address.natural_key_hash</t>
  </si>
  <si>
    <t>Joins</t>
  </si>
  <si>
    <t>inner join mds_client to mds_address on mds_client.ClientID = mds_address.EntityID</t>
  </si>
  <si>
    <t>left join canoncial_data_model.client to mds_client on client.client_number = mds_client.ClientNumber and client.member_firm_code = mds_client.MemberFirmCode</t>
  </si>
  <si>
    <t>mds_address.Active = true</t>
  </si>
  <si>
    <t>AddressTypeCode = "B"</t>
  </si>
  <si>
    <t>EntityTypeCode = "CL"</t>
  </si>
  <si>
    <t>Obtain the latest  with partition by SourceSystemID and EntityID and order by AddressID desc</t>
  </si>
  <si>
    <t>See Clients to Migrate sheet</t>
  </si>
  <si>
    <t>cmidb_addresses</t>
  </si>
  <si>
    <t>Id</t>
  </si>
  <si>
    <t>cmidb_clients</t>
  </si>
  <si>
    <t>JOIN TO cmidb_clients on EntityID = ClientID to obtain column</t>
  </si>
  <si>
    <t>CustomFieldsXmlToJson</t>
  </si>
  <si>
    <t>CAST(CustomFieldsXmlToJson:MemberFirmCode:item:Key AS STRING)</t>
  </si>
  <si>
    <t>StreetAddress</t>
  </si>
  <si>
    <t>ZipCode</t>
  </si>
  <si>
    <t>REPLACE(StreetAddress, CHAR(9), '') &amp;
REPLACE(StreetAddress, CHAR(10), '') &amp;
REPLACE(StreetAddress, CHAR(12), '') &amp;
REPLACE(StreetAddress, CHAR(13), '') &amp;
REPLACE(StreetAddress, CHAR(22), '') &amp;
REPLACE(StreetAddress, CHAR(32), '')</t>
  </si>
  <si>
    <t>DDRI: doesn't appear to be an active flag</t>
  </si>
  <si>
    <t>ModifiedOn</t>
  </si>
  <si>
    <t>inner join cmidb_client to cmidb_address on cmidb_client .ID = cmidb_address.Entity_ID</t>
  </si>
  <si>
    <t>Rowena Comments</t>
  </si>
  <si>
    <t>9C2B7F1E-5D4A-4C8F-AB3E-6D2A1F9B7C34</t>
  </si>
  <si>
    <t>client.client_key</t>
  </si>
  <si>
    <t>nvarhcar</t>
  </si>
  <si>
    <t>CAST(glo_dev_silver.mds.mds_client.clientid AS string)</t>
  </si>
  <si>
    <t>A433EAEF-C671-3B23-10D1-D065F0EC44F7</t>
  </si>
  <si>
    <t>client.client_number</t>
  </si>
  <si>
    <t>A4D29F3A-A66C-EE47-E2F8-61B8A8BBE642</t>
  </si>
  <si>
    <t>client.member_firm_code</t>
  </si>
  <si>
    <t>client_id</t>
  </si>
  <si>
    <t>CAST(Id AS VARCHAR(50))</t>
  </si>
  <si>
    <r>
      <t xml:space="preserve">DDRI3006: as this is the MDS key should this be left blank or should the CMI key be used?
</t>
    </r>
    <r>
      <rPr>
        <sz val="11"/>
        <color rgb="FFFF0000"/>
        <rFont val="Calibri"/>
        <family val="2"/>
        <scheme val="minor"/>
      </rPr>
      <t>SDGR0607: Until final transition there will still be am mds.mds_client.clientID - get this until the final cutover takes place</t>
    </r>
  </si>
  <si>
    <t>B10398ED-027F-CB69-92C3-6F07E652C977</t>
  </si>
  <si>
    <t>client.client_id</t>
  </si>
  <si>
    <t>pms_client_id</t>
  </si>
  <si>
    <t>SDGR2004: For NRAUS and NRJAK, pms_client_id &lt;&gt; client_number. For GPMS pms_client_id = client_number.</t>
  </si>
  <si>
    <t>E79F2F14-386F-F5EE-B7D7-1F2AC9B2C1B7</t>
  </si>
  <si>
    <t>client.pms_client_id</t>
  </si>
  <si>
    <t>client_name</t>
  </si>
  <si>
    <t>CAST(cmidb_clients.name AS VARCHAR(255))</t>
  </si>
  <si>
    <t>SDGR0607: For consistency continue to get this from mds.mds_client.clientname. After AUS and JAK have migrated it ceases to be populated.</t>
  </si>
  <si>
    <t>E87170F5-0C00-5F74-2478-880E59FEE9FC</t>
  </si>
  <si>
    <t>client.client_name</t>
  </si>
  <si>
    <t>alternate_client_name</t>
  </si>
  <si>
    <t>AlternateClientName</t>
  </si>
  <si>
    <r>
      <t xml:space="preserve">DDRI3006: is this still going to be NRAUS/JAK only?
</t>
    </r>
    <r>
      <rPr>
        <sz val="11"/>
        <color rgb="FFFF0000"/>
        <rFont val="Calibri"/>
        <family val="2"/>
        <scheme val="minor"/>
      </rPr>
      <t>SDGR2007: Yes - will be null for CMI</t>
    </r>
  </si>
  <si>
    <t>509B451B-06A3-51DD-9FA0-55F2560E9A2A</t>
  </si>
  <si>
    <t>client.alternate_client_name</t>
  </si>
  <si>
    <t>contact_name</t>
  </si>
  <si>
    <t>ContactName</t>
  </si>
  <si>
    <t>REPLACE(ContactName, CHAR(255), '') &amp;
REPLACE(ContactName, CHAR(160),'') &amp;
REPLACE(ContactName, CHAR(32),'') &amp;
REPLACE(ContactName, CHAR(22),'') &amp;
REPLACE(ContactName, CHAR(13),'') &amp;
REPLACE(ContactName, CHAR(12),'') &amp;
REPLACE(ContactName, CHAR(10),'') &amp;
REPLACE(ContactName, CHAR(9),'')
JOIN to cmidb_addresses on cmidb_clients.Id = cmidb_addresses .Entity_Id</t>
  </si>
  <si>
    <t>DDRI3006: Is this the correct place to get contact data?</t>
  </si>
  <si>
    <t>2730BAE0-FBDB-BCFF-E51D-B225B6235E6B</t>
  </si>
  <si>
    <t>client.contact_name</t>
  </si>
  <si>
    <t>open_date_utc</t>
  </si>
  <si>
    <t>OpenedOn</t>
  </si>
  <si>
    <t>AC6CAFF2-BDF8-57F8-D5DE-D5E73610CCDB</t>
  </si>
  <si>
    <t>client.open_date_utc</t>
  </si>
  <si>
    <t>close_date_utc</t>
  </si>
  <si>
    <t>ClosedOn</t>
  </si>
  <si>
    <t>A881CB55-1302-D665-D726-6117ECA7DA59</t>
  </si>
  <si>
    <t>client.close_date_utc</t>
  </si>
  <si>
    <t>client_e_billing_vendor</t>
  </si>
  <si>
    <t>CAST(CustomFieldsXmlToJson:EBillingVendorID AS STRING)</t>
  </si>
  <si>
    <r>
      <t xml:space="preserve">DDRI3006: Is th EBillingVendorID being populated in CMI?
</t>
    </r>
    <r>
      <rPr>
        <sz val="11"/>
        <color rgb="FFFF0000"/>
        <rFont val="Calibri"/>
        <family val="2"/>
        <scheme val="minor"/>
      </rPr>
      <t>SDGR0207: Has to come from Region - will therefore need a new "region" table</t>
    </r>
  </si>
  <si>
    <t>85140335-EDF6-2250-1CAF-DC1893065B1E</t>
  </si>
  <si>
    <t>client.client_e_billing_vendor</t>
  </si>
  <si>
    <t>client_information_barier</t>
  </si>
  <si>
    <t>CAST(CustomFieldsXmlToJson:ConfidentialClient AS STRING)</t>
  </si>
  <si>
    <r>
      <t xml:space="preserve">DDRI3006: same as IsConfidential?
</t>
    </r>
    <r>
      <rPr>
        <sz val="11"/>
        <color rgb="FFFF0000"/>
        <rFont val="Calibri"/>
        <family val="2"/>
        <scheme val="minor"/>
      </rPr>
      <t>SDGR0307: CustomerFieldsXmlToJson:ConfidentialClient - looks like it should be this field but it doesn't match the gmdr</t>
    </r>
  </si>
  <si>
    <t>D05437E4-F245-A96A-8262-4C66365925D0</t>
  </si>
  <si>
    <t>client.client_information_barier</t>
  </si>
  <si>
    <t>client_name_cmi</t>
  </si>
  <si>
    <t>SDGR0607: For consistency always populate this from cmi rather than the name field</t>
  </si>
  <si>
    <t>2FEE2405-4CE7-0689-5E7C-CD8ED1B66F49</t>
  </si>
  <si>
    <t>client.client_name_cmi</t>
  </si>
  <si>
    <t>member_firm_code_cmi</t>
  </si>
  <si>
    <t>variant</t>
  </si>
  <si>
    <t>DDRI3006: redundant as other memberfirm field will now have cmi data?</t>
  </si>
  <si>
    <t>client_status_cmi</t>
  </si>
  <si>
    <t>cmidb_clientstatuses</t>
  </si>
  <si>
    <t>JOIN to cmidb_clientstatuses on cmidb_clientstatuses.Id = cmidb_clients.Status_id
WHEN memberfirmcode in NRJAK, NRAUS THEN use PMSStatusCode from mds_client_status else use cmi client status</t>
  </si>
  <si>
    <t>client_non_consent</t>
  </si>
  <si>
    <t>CAST(CustomFieldsXmlToJson:GSCNonConsenting AS STRING)</t>
  </si>
  <si>
    <t>0B24ED61-1A82-2671-52FF-1D95121C5BB1</t>
  </si>
  <si>
    <t>client.client_non_consent</t>
  </si>
  <si>
    <t>client_pricing_group</t>
  </si>
  <si>
    <t>gmdr_sap_kna1</t>
  </si>
  <si>
    <t>ZZCLNTGRP</t>
  </si>
  <si>
    <t>CAST(gmdr_sap_kna1.ZZCLNTGRP AS VARCHAR(100))</t>
  </si>
  <si>
    <t>DDRI3006: pricing group not held in CMI?</t>
  </si>
  <si>
    <t>442FBB64-5204-30F4-BFA4-53CB39BF4DFE</t>
  </si>
  <si>
    <t>client.client_pricing_group</t>
  </si>
  <si>
    <t>customer_account_group</t>
  </si>
  <si>
    <t>case when left(ClientId,1) = '1' then 'Z001' when left(ClientId,1) = '6' then 'Z003')</t>
  </si>
  <si>
    <t>DDRI3006: The cmidb_clients table only holds clients, are we incorporating payers from the cmidb_parties table too? Only Z001 (Client) or Z003 (Payor) too?</t>
  </si>
  <si>
    <t>1C66582A-72B1-B2DF-85BF-91431D7371E9</t>
  </si>
  <si>
    <t>client.customer_account_group</t>
  </si>
  <si>
    <t>JOIN gmdr_sap_kna1.ZZCLNTPRG to client_programme_code to obtain surrogate key</t>
  </si>
  <si>
    <t>DDRI3006: Programme not held in CMI?</t>
  </si>
  <si>
    <t>A970D8D3-30C8-2D18-0E86-49E0C2F87EE2</t>
  </si>
  <si>
    <t>client.practice_group_key</t>
  </si>
  <si>
    <t>tax_jurisdiction</t>
  </si>
  <si>
    <t>TXJCD</t>
  </si>
  <si>
    <t>DDRI3006: Canada only and not held in CMI?</t>
  </si>
  <si>
    <t>7DB46887-4BF1-75A6-EEC8-BE05F8071006</t>
  </si>
  <si>
    <t>client.tax_jurisdiction</t>
  </si>
  <si>
    <t>tax_number_1</t>
  </si>
  <si>
    <t>CAST(CustomFieldsXmlToJson:TaxRegistrationNumber AS STRING)</t>
  </si>
  <si>
    <t>02875C1C-F7D3-6D98-3417-84310F0C3059</t>
  </si>
  <si>
    <t>client.tax_number_1</t>
  </si>
  <si>
    <t>tax_number_2</t>
  </si>
  <si>
    <t>STCD2</t>
  </si>
  <si>
    <t>DDRI3006: There is no second tax number field in CMI</t>
  </si>
  <si>
    <t>B12D511F-1BC9-7B66-ACB3-69DC0EF4FD48</t>
  </si>
  <si>
    <t>client.tax_number_2</t>
  </si>
  <si>
    <t>vat_registration_number</t>
  </si>
  <si>
    <t>CAST(CustomFieldsXmlToJson:BillingContactVATnumber AS STRING)</t>
  </si>
  <si>
    <r>
      <t xml:space="preserve">DDRI3006: Is this the correct field?
</t>
    </r>
    <r>
      <rPr>
        <sz val="11"/>
        <color rgb="FFFF0000"/>
        <rFont val="Calibri"/>
        <family val="2"/>
        <scheme val="minor"/>
      </rPr>
      <t>SDGR0307: CustomFieldsXmlToJson:TaxRegistrationNumber</t>
    </r>
  </si>
  <si>
    <t>317DC86C-DDCA-EF33-6678-FC91D3FD6763</t>
  </si>
  <si>
    <t>client.vat_registration_number</t>
  </si>
  <si>
    <t>vat_valid_date</t>
  </si>
  <si>
    <t>ZZVATVALDT</t>
  </si>
  <si>
    <t>DDRI3006: VAT date not held in CMI?</t>
  </si>
  <si>
    <t>5EFA4973-922E-73AB-A7A8-A938368A2382</t>
  </si>
  <si>
    <t>client.vat_valid_date</t>
  </si>
  <si>
    <t>client_duns</t>
  </si>
  <si>
    <t>DunsNumber</t>
  </si>
  <si>
    <t>JOIN to cmidb_parties on cmidb_parties.Id = cmidb_clients.Party_Id</t>
  </si>
  <si>
    <t>B18071E6-8DD9-6219-D1CA-C4A338892D62</t>
  </si>
  <si>
    <t>client.client_duns</t>
  </si>
  <si>
    <t>client_guduns</t>
  </si>
  <si>
    <t>CAST(CustomFieldsXmlToJson:ClientGUDUNS AS STRING)
JOIN to cmidb_parties on cmidb_parties.Id = cmidb_clients.Party_Id</t>
  </si>
  <si>
    <t>3BA4A7E7-D3A5-10E8-0628-8EBEB5007DA4</t>
  </si>
  <si>
    <t>client.client_guduns</t>
  </si>
  <si>
    <t>comments</t>
  </si>
  <si>
    <t>REPLACE(Comment, CHAR(1), '') &amp;
REPLACE(Comment, CHAR(9), '') &amp;
REPLACE(Comment, CHAR(10), '') &amp;
REPLACE(Comment, CHAR(12), '') &amp;
REPLACE(Comment, CHAR(13), '') &amp;
REPLACE(Comment, CHAR(22), '') &amp;
REPLACE(Comment, CHAR(32), '') &amp;</t>
  </si>
  <si>
    <r>
      <t xml:space="preserve">DDRI3006: ?
</t>
    </r>
    <r>
      <rPr>
        <sz val="11"/>
        <color rgb="FFFF0000"/>
        <rFont val="Calibri"/>
        <family val="2"/>
        <scheme val="minor"/>
      </rPr>
      <t>SDGR0307: These are only from AUS/JAK</t>
    </r>
  </si>
  <si>
    <t>D292929D-D64A-4E1C-A445-1FADF64D07AA</t>
  </si>
  <si>
    <t>client.comments</t>
  </si>
  <si>
    <t>pms_entity_type</t>
  </si>
  <si>
    <t>PMSEntityType</t>
  </si>
  <si>
    <r>
      <t xml:space="preserve">DDRI3006: ?
</t>
    </r>
    <r>
      <rPr>
        <sz val="11"/>
        <color rgb="FFFF0000"/>
        <rFont val="Calibri"/>
        <family val="2"/>
        <scheme val="minor"/>
      </rPr>
      <t>SDGR0307: Should always hardcode to 'SP'. NRAUS/NRJAK send 'G','B','F','C',R'</t>
    </r>
    <r>
      <rPr>
        <sz val="11"/>
        <color theme="1"/>
        <rFont val="Calibri"/>
        <family val="2"/>
        <scheme val="minor"/>
      </rPr>
      <t xml:space="preserve"> - Mostly C's~100K and B's~30K</t>
    </r>
  </si>
  <si>
    <t>5135E38F-72B3-EFE9-B711-DC4A153BFCF7</t>
  </si>
  <si>
    <t>client.pms_entity_type</t>
  </si>
  <si>
    <t>client_type</t>
  </si>
  <si>
    <t>CASE LEFT(CAST(CustomFieldsXmlToJson:ClientType:item:Key AS STRING),1) WHEN = 'O' THEN 'O' THEN 'I' THEN 'P' END</t>
  </si>
  <si>
    <t>DDRI3006: CMI holds 22 more specific 3 character codes but we can take the first character (O or I) to simplify it for this field</t>
  </si>
  <si>
    <t>96901533-1515-043C-BCDA-AE4AD3190837</t>
  </si>
  <si>
    <t>client.client_type</t>
  </si>
  <si>
    <t>I do not understand the logic that is being used here ,  not sure what the P is, but if you only want to know if it is Org or Individidual then yes, If the first character is O then Organisation and if I then Individual</t>
  </si>
  <si>
    <t>is_confidential</t>
  </si>
  <si>
    <t>B3E084D7-3DE3-72B8-74E8-A3C092671314</t>
  </si>
  <si>
    <t>client.is_confidential</t>
  </si>
  <si>
    <t>The confidential flag does not denote a wall and Intapp does not deal with client level walls - however if we did it would be where  clients. DefaultSecurity = 0</t>
  </si>
  <si>
    <t>JOIN cmidb_StandardIndustryCodes on  cmidb_StandardIndustryCodes.Id = cmidb_clients.IndustryCode_Id
JOIN cmidb_StandardIndustryCodes.Key = client_sector.sic_code</t>
  </si>
  <si>
    <t>SDGR2004: Foreign key to Client Sectors taxonomy</t>
  </si>
  <si>
    <t>A0D5A75C-A611-5804-2648-DDCFDB74B23B</t>
  </si>
  <si>
    <t>client.client_sector_key</t>
  </si>
  <si>
    <t>is_sanctions_checked</t>
  </si>
  <si>
    <t>CAST(CustomFieldsXmlToJson:ClientSanctionsExposure AS STRING)</t>
  </si>
  <si>
    <t>DDRI3006: is this ClientSanctionsExposure?</t>
  </si>
  <si>
    <t>C1D4E8A7-9B32-4F6C-A1D8-2E7F3B5A9C66</t>
  </si>
  <si>
    <t>client.is_sanctions_checked</t>
  </si>
  <si>
    <t>This is a True / False not a Bit</t>
  </si>
  <si>
    <t>JOIN to cmidb_clientstatuses on cmidb_clientstatuses.Id = cmidb_clients.Status_id</t>
  </si>
  <si>
    <t>client status</t>
  </si>
  <si>
    <t>SDGR: 1 or 0</t>
  </si>
  <si>
    <t>F25E937F-5822-84DD-0D92-6885AA72D1D3</t>
  </si>
  <si>
    <t>client.is_active</t>
  </si>
  <si>
    <t>Client Status of Open or closed would transform to Active or Inactive</t>
  </si>
  <si>
    <t>created_date_utc_at_source</t>
  </si>
  <si>
    <t>CreatedOn</t>
  </si>
  <si>
    <t>21D4CFB3-F287-C2FB-5DD6-501D5553EB48</t>
  </si>
  <si>
    <t>client.created_date_utc_at_source</t>
  </si>
  <si>
    <t>4B2B907C-B837-8E7F-8826-6C7FA5DA9AAB</t>
  </si>
  <si>
    <t>client.last_updated_date_utc_at_source</t>
  </si>
  <si>
    <t>7C3F4A21-8D6B-4E9F-9A2C-5F1E7D3B8A90</t>
  </si>
  <si>
    <t>client.source_system</t>
  </si>
  <si>
    <t>A9E2C6D4-1B7F-4F35-8D9A-2C4E7B1F6A33</t>
  </si>
  <si>
    <t>client.inserted_process_instance_id</t>
  </si>
  <si>
    <t>3F8A1D72-6B9C-4C5E-AB21-9D7F3E2A6C44</t>
  </si>
  <si>
    <t>client.updated_process_instance_id</t>
  </si>
  <si>
    <t>D5B2E9F1-3A7C-4D68-9F21-8C6A1B3E7D55</t>
  </si>
  <si>
    <t>client.inserted_process_queue_id</t>
  </si>
  <si>
    <t>91E4B7C3-2D6A-4F8B-AC57-3F1D9E6B2A66</t>
  </si>
  <si>
    <t>client.updated_process_queue_id</t>
  </si>
  <si>
    <t>C2A7D5E8-9F3B-4A61-8E2C-7D1F6B9A4E77</t>
  </si>
  <si>
    <t>client.inserted_date_time</t>
  </si>
  <si>
    <t>6B1D3F9A-8C4E-4D72-B5A9-2E7F1C3D8A88</t>
  </si>
  <si>
    <t>client.updated_date_time</t>
  </si>
  <si>
    <t>E4F9A2B6-7C1D-4E35-9A8B-5D3F7C1E2A99</t>
  </si>
  <si>
    <t>client.natural_key_hash</t>
  </si>
  <si>
    <t>left join cmidb_parties to cmidb_clients on cmidb_client.Party_Id = cmidb_parties.Id</t>
  </si>
  <si>
    <t>left join cmidb_addresses on cmidb_clients.Id = cmidb_addresses .Entity_Id</t>
  </si>
  <si>
    <t>left join cmidb_clientstatuses to cmidb_client on cmidb_client.Status_id = cmidb_clientstatuses.id</t>
  </si>
  <si>
    <t>left join cmidb_StandardIndustryCodes on cmidb_clients.IndustryCode_Id = cmidb_StandardIndustryCodes.Id</t>
  </si>
  <si>
    <t>left join taxonomy_data_model.client_programme to gmdr_sap_kna1 on gmdr_sap_kna1.ZZCLNTPRG = client_programme_code</t>
  </si>
  <si>
    <t>left join taxonomy_data_model.client_sector on client_sector.sic_code = cmidb_StandardIndustryCodes.Key</t>
  </si>
  <si>
    <t>Clients should be mapped with customer_account_group = Z001 and Payors should be mapped with Z003</t>
  </si>
  <si>
    <t>client_partner_allocation</t>
  </si>
  <si>
    <t>client_partner_allocation_key</t>
  </si>
  <si>
    <t>IDENTITY(1,1)</t>
  </si>
  <si>
    <t>D6A3E9F1-2B4C-4D7A-8E1F-3C9B5A2D7F80</t>
  </si>
  <si>
    <t>client_partner_allocation.client_partner_allocation_key</t>
  </si>
  <si>
    <t>gmdr_sap_zprs_tkalocclnt</t>
  </si>
  <si>
    <t>KUNNR</t>
  </si>
  <si>
    <t>0E77937C-2346-8C9E-76C7-1A71ADEFF415</t>
  </si>
  <si>
    <t>client_partner_allocation.client_number</t>
  </si>
  <si>
    <t>mds_person</t>
  </si>
  <si>
    <t>person_number</t>
  </si>
  <si>
    <t>SystemEmployeeCode</t>
  </si>
  <si>
    <t>For GMDR use gmdr_sap_zprs_tkalocclnt.PARVW = sap_code to obtain surrogate key</t>
  </si>
  <si>
    <t>86FE4B4F-2EA1-9D6B-6F3D-2EEBE7E28601</t>
  </si>
  <si>
    <t>client_partner_allocation.partner_function_key</t>
  </si>
  <si>
    <t>For MDS data (SELECT partner_function_key FROM partner_function WHERE partner_function_code = "RLPT") as partner_function_key</t>
  </si>
  <si>
    <t>begin_date</t>
  </si>
  <si>
    <t>BEGDA</t>
  </si>
  <si>
    <t>SDGR2004:Business Key</t>
  </si>
  <si>
    <t>954936A5-855D-8646-0A70-443FA0C8DEB8</t>
  </si>
  <si>
    <t>client_partner_allocation.begin_date</t>
  </si>
  <si>
    <t>OpenDateGMT</t>
  </si>
  <si>
    <t>COALESCE(OpenDateGMT, "1900-01-01")</t>
  </si>
  <si>
    <t>end_date</t>
  </si>
  <si>
    <t>ENDDA</t>
  </si>
  <si>
    <t>645069F3-EFA9-D2DA-CAFD-205260D07F56</t>
  </si>
  <si>
    <t>client_partner_allocation.end_date</t>
  </si>
  <si>
    <t>CloseDateGMT</t>
  </si>
  <si>
    <t>COALESCE(CloseDateGMT, "9999-12-31")</t>
  </si>
  <si>
    <t>allocation_percentage</t>
  </si>
  <si>
    <t>ZZALLOCPERCENT</t>
  </si>
  <si>
    <t>4497A01A-2F0D-F315-1E69-40CDB611B12D</t>
  </si>
  <si>
    <t>client_partner_allocation.allocation_percentage</t>
  </si>
  <si>
    <t>hard coded value</t>
  </si>
  <si>
    <t>canoncial_data_model</t>
  </si>
  <si>
    <t>A3F1C9D2-7E45-4B8A-9C6D-2F7A1E3B5C8D</t>
  </si>
  <si>
    <t>client_partner_allocation.client_key</t>
  </si>
  <si>
    <t>SDGR2004: FK and NK - person_key</t>
  </si>
  <si>
    <t>EC56CBF6-11E1-7A9B-89D8-536F85784364</t>
  </si>
  <si>
    <t>client_partner_allocation.person_key</t>
  </si>
  <si>
    <t>DELETION_INDICATOR</t>
  </si>
  <si>
    <t>nchar</t>
  </si>
  <si>
    <t>CASE WHEN DELETION_INDICATOR &lt;&gt; "X" AND current_timestamp &gt;= BEGDA and &lt;= ENDDA THEN 1 ELSE 0</t>
  </si>
  <si>
    <t>Rename isActive</t>
  </si>
  <si>
    <t>5669469E-1B6B-D709-29DB-66F2713445AC</t>
  </si>
  <si>
    <t>client_partner_allocation.is_active</t>
  </si>
  <si>
    <t>TIMESTAMP</t>
  </si>
  <si>
    <t>UTC</t>
  </si>
  <si>
    <t>0D4420AC-7132-E359-2CBE-F208AB8DF194</t>
  </si>
  <si>
    <t>client_partner_allocation.last_updated_date_utc_at_source</t>
  </si>
  <si>
    <t>9F2C3E4B-7A1D-4E8A-9C2F-6B5D1A7C8E3F</t>
  </si>
  <si>
    <t>client_partner_allocation.source_system</t>
  </si>
  <si>
    <t>C1A7D9E2-5B3F-4A6C-8D1E-2F9B7C4E5A6D</t>
  </si>
  <si>
    <t>client_partner_allocation.inserted_process_instance_id</t>
  </si>
  <si>
    <t>7B8D2F1C-3E6A-4C9F-A5D1-8E2B7C6A4F9D</t>
  </si>
  <si>
    <t>client_partner_allocation.updated_process_instance_id</t>
  </si>
  <si>
    <t>E3A1C5B7-9D2F-4A8C-6B1E-5F7D2C9A3E8B</t>
  </si>
  <si>
    <t>client_partner_allocation.inserted_process_queue_id</t>
  </si>
  <si>
    <t>2D6F8A1B-4C3E-4F9D-A7B5-1C8E2D6A9F3B</t>
  </si>
  <si>
    <t>client_partner_allocation.updated_process_queue_id</t>
  </si>
  <si>
    <t>A9E3B7C1-6D2F-4A5C-8B1E-7F3D9C2A6E4B</t>
  </si>
  <si>
    <t>client_partner_allocation.inserted_date_time</t>
  </si>
  <si>
    <t>5C1A9E3D-7B2F-4A6C-8D1E-3F9B7C2E4A6D</t>
  </si>
  <si>
    <t>client_partner_allocation.updated_date_time</t>
  </si>
  <si>
    <t>D7F2A1C9-3E6B-4C8A-9D5F-2B7E1A6C3F8D</t>
  </si>
  <si>
    <t>client_partner_allocation.natural_key_hash</t>
  </si>
  <si>
    <t>Union GMDR data with MDS data. Details below</t>
  </si>
  <si>
    <t>GMDR Joins:</t>
  </si>
  <si>
    <t>Subqueries / CTEs: gmdr_person_mastered contains a single mastered GPMS person record per PERSONID_EXT inner join gmdr_sap_pa0709 to gmdr_sap_pa0000 on PERNR Obtain active records (ENDDA = "9999-12-31"). Prefer STAT2 = 1 or 3, otherwise fall back to the latest STAT2 = 0 using BEGDA to rank</t>
  </si>
  <si>
    <t>inner join taxonomy_data_model.partner_function to gmdr_sap_zprs_tkalocclnt on partner_function.sap_code = gmdr_sap_zprs_tkalocclnt.PARVW</t>
  </si>
  <si>
    <t>inner join gmdr_person_mastered to gmdr_sap_zprs_tkalocclint on PERNR</t>
  </si>
  <si>
    <t>inner join mds_personsystemmap to gmdr_person_mastered on gmdr_person_mastered.PERSONID_EXT = cast(coalesce(mds_personsystemmap.GPMSExternalPersonID, mds_personsystemmap.GPMSPersonnelNumber) as string) and len(cast(coalesce(mds_personsystemmap.GPMSExternalPersonID, mds_personsystemmap.GPMSPersonnelNumber) as string)) = 6 and gmdr_person_mastered.rn = 1</t>
  </si>
  <si>
    <t>left join mds_person to mds_personsystemmap on PersonID</t>
  </si>
  <si>
    <t>left join canonical_data_model.client to gmdr_sap_zprs_tkalocclnt on client.client_number = gmdr_sap_zprs-tkalocclnt.KUNNR and client.member_firm_code = "GPMS"</t>
  </si>
  <si>
    <t>left join canonical_data_model.person to mds_person on CAST(PersonID as string) = person_id</t>
  </si>
  <si>
    <t>GMDR Filters:</t>
  </si>
  <si>
    <t>DELETION_INDICATOR &lt;&gt; "X"</t>
  </si>
  <si>
    <t>Obtain the latest with partition by kunnr, pernr, parvw, begda and order by ZZCTSTAMP desc</t>
  </si>
  <si>
    <t>MDS Joins:</t>
  </si>
  <si>
    <t>inner join mds_person to mds_client on mds_client.ResponsibleAttorneyID = mds_person.PersonID</t>
  </si>
  <si>
    <t>left join canonical_data_model.client to mds_client on CAST(ClientID as string) = client_id</t>
  </si>
  <si>
    <t>MDS Filters:</t>
  </si>
  <si>
    <t>MemberFirmCode IN ("NRAUS", "NRJAK")</t>
  </si>
  <si>
    <t>SDGR: Put this above memberfirmcode</t>
  </si>
  <si>
    <t>SDGR: MemberFirmCodes will be business values not surrogate keys. The business key for this table will be ClientNumber + MemberFirmCode</t>
  </si>
  <si>
    <t>ClientID</t>
  </si>
  <si>
    <t>CAST(ClientID AS VARCHAR(50))</t>
  </si>
  <si>
    <t>SDGR2004: As this is the MDS surrogate key other tables will have this as the foreign key</t>
  </si>
  <si>
    <t>PMSClientID</t>
  </si>
  <si>
    <t>ClientName</t>
  </si>
  <si>
    <t>REPLACE(ContactName, CHAR(255), '') &amp;
REPLACE(ContactName, CHAR(160),'') &amp;
REPLACE(ContactName, CHAR(32),'') &amp;
REPLACE(ContactName, CHAR(22),'') &amp;
REPLACE(ContactName, CHAR(13),'') &amp;
REPLACE(ContactName, CHAR(12),'') &amp;
REPLACE(ContactName, CHAR(10),'') &amp;
REPLACE(ContactName, CHAR(9),'')</t>
  </si>
  <si>
    <t>COALESCE(cmidb.Clients.OpenedOn,MDS.Client.OpenDateGMT, GMDR.SAP_KNA1.ZZOPENDATE)</t>
  </si>
  <si>
    <t>SDGR: Re-label OpenDateUTC</t>
  </si>
  <si>
    <t>COALESCE(cmidb.Clients.ClosedOn, MDS.Client.ClosedDateGMT)</t>
  </si>
  <si>
    <t>ZZEBILLVENDOR</t>
  </si>
  <si>
    <t>CAST(gmdr_sap_kna1.ZZEBILLVENDOR AS VARCHAR(100))</t>
  </si>
  <si>
    <t>ZZPRICONF</t>
  </si>
  <si>
    <t>CAST(gmdr_sap_kna1.ZZPRICONF AS VARCHAR(10))</t>
  </si>
  <si>
    <t>CAST(cmidb_clients.name AS VARCHAR(255))
JOIN mds client to cmi clients on cmi.clientid = concat(mds.memberfirmcode, "-", mds.ClientNumber)</t>
  </si>
  <si>
    <t>JOIN cmidb_clients to cmidb_clientstatuses on cmidb_clientstatuses.Id = cmidb_clients.Status_id
WHEN memberfirmcode in NRJAK, NRAUS THEN use PMSStatusCode from mds_client_status else use cmi client status</t>
  </si>
  <si>
    <t>ZNONCONSENT</t>
  </si>
  <si>
    <t>CAST(gmdr_sap_kna1.ZNONCONSENT AS VARCHAR(10))</t>
  </si>
  <si>
    <t>SDGR: 152 distinct rows in gmdr</t>
  </si>
  <si>
    <t>KTOKD</t>
  </si>
  <si>
    <t>SDGR: Is only Z001 (Client) or Z003 (Payor)
SDGR2004: Not a taxonomy but we will add into the Taxonomy Spreadsheet in a 'Reference Values' worksheet which TT will not ingest. We will ask all Regions to send either Z001 or Z003</t>
  </si>
  <si>
    <t>DDRI: renamed from practice group to programme</t>
  </si>
  <si>
    <t>STCD1</t>
  </si>
  <si>
    <t>STCEG</t>
  </si>
  <si>
    <t>ClientDUNS</t>
  </si>
  <si>
    <t>ClientGUDUNS</t>
  </si>
  <si>
    <t>SDGR2304: NRAUS and NRJAK provide</t>
  </si>
  <si>
    <t>SDGR2004: GPMS (SP), NRAUS &amp; NRJAK (B C F), NRAUS (G R)
SDGR2004: Why do CMI even need this?
SDGR2004: Just leave as is and allow AUS to populate as they are - other regions will leave blank going forwards</t>
  </si>
  <si>
    <t>ClientType</t>
  </si>
  <si>
    <t>CASE WHEN BLANK and memberfirm = GPMS THEN "O" WHEN "O" THEN "O" WHEN "X" OR "P" OR "I" THEN "P"</t>
  </si>
  <si>
    <t>SDGR2004: GPMS (Blank - Organisation or X - Person), NRAUS &amp; NRJAK (O, P or null)
DDRI2004: Not a taxonomy but will add to taxonomy spreadsheet in reference values, not to be ingested. Regions  to send 'O' (organisation) or 'P' (person)</t>
  </si>
  <si>
    <t>IsConfidential</t>
  </si>
  <si>
    <t>COALESCE(MDS.Client.SICCode, CAST(gmdr_sap_kna1.ZZSICCD AS VARCHAR(10))) = client_sector.sic_code</t>
  </si>
  <si>
    <t>SanctionsChecked_YN</t>
  </si>
  <si>
    <t>SDGR: Must come from CMI not regions</t>
  </si>
  <si>
    <t>SG comment: Can we simply map the AUS client statuses into mds.mds_client.isActive</t>
  </si>
  <si>
    <t>CreatedDateGMT</t>
  </si>
  <si>
    <t>COALESCE(cmidb.Clients.CreatedOn, MDS.Client.CreatedDateGMT)</t>
  </si>
  <si>
    <t>SDGR: Re-label CreatedDateUTC</t>
  </si>
  <si>
    <t>MAX(MDS.Client.LastUpdatedDateGMT, mds.client.PMSLastModifiedGMT, GMDR.SAP_KNA1.Timestamp, cmidb.Clients.ModifiedOn)</t>
  </si>
  <si>
    <t>SDGR: All entities should have a single 'LastUpdatedDateUTC'
SDGR2304: For NRAUS and NRJAK map this from mds.client.PMSLastModifiedGMT
SDGR2304: Not needed as we have last_updated_date_utc_at_source, Map PMSLastModifiedGMT into last_updated_date_utc_at_source</t>
  </si>
  <si>
    <t>left join cmidb_clients to mds_client on cmidb_client.ClientId = CONCAT(mds_client.MemberFirmCode, "-", mds_client.ClientNumber)</t>
  </si>
  <si>
    <t>left join gmdr_sap_kna1 to mds_client on CAST(gmdr_sap_kna1.KUNNR as string) = mds_client.ClientNumber</t>
  </si>
  <si>
    <t>left join gmdr_sap_ihpa to gmdr_sap_kna1 on gmdr_sap_kna1.KUNNR = gmdr_sap_ihpa.PARNR</t>
  </si>
  <si>
    <t>left join taxonomy_data_model.client_sector on client_sector.sic_code = coalesce(mds_client.SicCode, gmdr.ZZSICCD)</t>
  </si>
  <si>
    <t>IDENTITY COLUMN (1,1), No filtering requirement</t>
  </si>
  <si>
    <t>7B1C3E5D-9A4F-4E2B-AC6D-1F8E3A7C2D95</t>
  </si>
  <si>
    <t>cost_centre.cost_centre_key</t>
  </si>
  <si>
    <t>cost_centre_code</t>
  </si>
  <si>
    <t>CostCenter</t>
  </si>
  <si>
    <t>LTRIM(RTRIM(CostCenter))</t>
  </si>
  <si>
    <t>SDGR1904: Cost Centre should be unique enough for a Business Key</t>
  </si>
  <si>
    <t>3BF65B02-9768-03E0-5858-3E709B005E60</t>
  </si>
  <si>
    <t>cost_centre.cost_centre_code</t>
  </si>
  <si>
    <t>"GPMS"</t>
  </si>
  <si>
    <t>hard code value</t>
  </si>
  <si>
    <t>SDGR: Should be re-labelled MemberFirmCode (all current values are null)
SDGR: Should be part of the Business Key</t>
  </si>
  <si>
    <t>F7C2A9D4-3E1B-4C8F-9A6D-5B2E7C1A8D3F</t>
  </si>
  <si>
    <t>cost_centre.member_firm_code</t>
  </si>
  <si>
    <t>valid_from_date</t>
  </si>
  <si>
    <t>ValidFromDate</t>
  </si>
  <si>
    <t>921F57B6-84FB-6156-8327-9B2E6CF7BC3F</t>
  </si>
  <si>
    <t>cost_centre.valid_from_date</t>
  </si>
  <si>
    <t>valid_to_date</t>
  </si>
  <si>
    <t>ValidToDate</t>
  </si>
  <si>
    <t>SDGR1904: This only needs to be part of the key if we need to track history of a individual cost centre becoming active/ inactive over time
SDGR2104: Not part of the key. We only need to know if the cost centre is currently active</t>
  </si>
  <si>
    <t>DBF87DB3-3DA4-7B31-6210-3EF53C9ECAD4</t>
  </si>
  <si>
    <t>cost_centre.valid_to_date</t>
  </si>
  <si>
    <t>JOIN mds_costcenter to company using CompanyCode</t>
  </si>
  <si>
    <t>SDGR1904: This should just be a foreign key, Rename company_code_key</t>
  </si>
  <si>
    <t>3BF9D892-5007-EA70-B6B2-A0C618C05DE6</t>
  </si>
  <si>
    <t>cost_centre.company_key</t>
  </si>
  <si>
    <t>SDGR: Will use ISOCODE and not surrogate ket for Currency</t>
  </si>
  <si>
    <t>C1282F07-8A7D-B09A-5643-0FD26E812B99</t>
  </si>
  <si>
    <t>cost_centre.currency_code</t>
  </si>
  <si>
    <t>profit_centre</t>
  </si>
  <si>
    <t>ProfitCenter</t>
  </si>
  <si>
    <t>3A3B4431-4F75-6360-E2A6-EF7BB4C74402</t>
  </si>
  <si>
    <t>cost_centre.profit_centre</t>
  </si>
  <si>
    <t>cost_centre_description</t>
  </si>
  <si>
    <t>04C217BF-9E82-C2B9-8D7E-FC18E066998D</t>
  </si>
  <si>
    <t>cost_centre.cost_centre_description</t>
  </si>
  <si>
    <t>cost_centre_long_description</t>
  </si>
  <si>
    <t>LongDescription</t>
  </si>
  <si>
    <t>70B59540-B4F3-2259-9627-3A2C5D5DB7A3</t>
  </si>
  <si>
    <t>cost_centre.cost_centre_long_description</t>
  </si>
  <si>
    <t>WHEN current_timestamp &gt;= ValidToDate and &lt;= ValidFromDate THEN 1 ELSE 0</t>
  </si>
  <si>
    <t>C5FA31F4-08EB-49A9-BD95-4DD784E71481</t>
  </si>
  <si>
    <t>cost_centre.is_active</t>
  </si>
  <si>
    <t>0A74572E-C098-F137-2AFB-672E4E9AF389</t>
  </si>
  <si>
    <t>cost_centre.last_updated_date_utc_at_source</t>
  </si>
  <si>
    <t>9F2C3A8B-6E41-4D7A-A2F8-1C5E9B3D7A11</t>
  </si>
  <si>
    <t>cost_centre.source_system</t>
  </si>
  <si>
    <t>C4D8E2F1-9A67-4B2C-8E13-5F7A1D9C6B22</t>
  </si>
  <si>
    <t>cost_centre.inserted_process_instance_id</t>
  </si>
  <si>
    <t>7A1E3D5C-2B9F-4F68-AB12-8D6C3E9F4A33</t>
  </si>
  <si>
    <t>cost_centre.updated_process_instance_id</t>
  </si>
  <si>
    <t>E8B2C7D4-5A91-4C3F-9D72-6A1F8E3B5C44</t>
  </si>
  <si>
    <t>cost_centre.inserted_process_queue_id</t>
  </si>
  <si>
    <t>3D9A6F1C-7E2B-4A85-BF31-2C8E5D7A9B55</t>
  </si>
  <si>
    <t>cost_centre.updated_process_queue_id</t>
  </si>
  <si>
    <t>B1C7E4A9-3F6D-4B2E-8A91-7D5C2F3E6A66</t>
  </si>
  <si>
    <t>cost_centre.inserted_date_time</t>
  </si>
  <si>
    <t>6E4F2A8C-1D9B-4C73-AB56-9F3D7E1A2C77</t>
  </si>
  <si>
    <t>cost_centre.updated_date_time</t>
  </si>
  <si>
    <t>A2D9B5C7-8E41-4F6A-9C23-1B7E3D5F8A88</t>
  </si>
  <si>
    <t>cost_centre.natural_key_hash</t>
  </si>
  <si>
    <t>SDGR2004: Can we not just build this from the Taxonomy tables?</t>
  </si>
  <si>
    <t>SDGR2004: Not every Office, PG and Team e.g. HKG1 AC 1001 combination is a Cost Centre - we need this to define the legitimate list</t>
  </si>
  <si>
    <t>DF : potential DQ issues where characters getting chopped off end of Description and LongDescription columns</t>
  </si>
  <si>
    <t>left join taxonomy_data_model.company to mds_costcenter on mds_costcenter.CompanyCode = company.company_code</t>
  </si>
  <si>
    <t> </t>
  </si>
  <si>
    <t>IDENTITY COLUMN (1,1), MemberFirmCode = ("GPMS", 'NRJAK', 'NRAUS')</t>
  </si>
  <si>
    <t>E2F9A6C1-3D7B-4A5E-B8C2-9D1F6A3B7E40</t>
  </si>
  <si>
    <t>matter.matter_key</t>
  </si>
  <si>
    <t>mds_matter</t>
  </si>
  <si>
    <t>MatterNumber</t>
  </si>
  <si>
    <t>83A26F38-1468-80DA-592E-246EA92E6D24</t>
  </si>
  <si>
    <t>matter.matter_number</t>
  </si>
  <si>
    <t>LTRIM(RTRIM([MemberFirmCode])) &amp; ISNULL(MemberFirmCode,'')</t>
  </si>
  <si>
    <t>SDGR: CANADA / EMEAPAC / NRAUS / NRJAK / USA.</t>
  </si>
  <si>
    <t>A333E8B7-ED1F-52DF-5F46-9983FE0C72AA</t>
  </si>
  <si>
    <t>matter.member_firm_code</t>
  </si>
  <si>
    <t>matter_id</t>
  </si>
  <si>
    <t>MatterID</t>
  </si>
  <si>
    <t>CONVERT(VARCHAR(50, MatterID)</t>
  </si>
  <si>
    <t>8B7986CD-8E2F-E811-424D-B2121CFA9287</t>
  </si>
  <si>
    <t>matter.matter_id</t>
  </si>
  <si>
    <t>pms_matter_id</t>
  </si>
  <si>
    <t>PMSMatterID</t>
  </si>
  <si>
    <t>SDGR: Maps NRAUS, NRJAK and NRFSA MatterNumbers to CMI MatterNumbers (PMSMatterId)</t>
  </si>
  <si>
    <t>632FEC88-5A5C-83DF-04A0-232B38F3F6DA</t>
  </si>
  <si>
    <t>matter.pms_matter_id</t>
  </si>
  <si>
    <t>matter_name</t>
  </si>
  <si>
    <t>MatterName</t>
  </si>
  <si>
    <t>45CC3574-F169-B6C9-6064-C47FA1F158ED</t>
  </si>
  <si>
    <t>matter.matter_name</t>
  </si>
  <si>
    <t>long_matter_name</t>
  </si>
  <si>
    <t>LongMatterName</t>
  </si>
  <si>
    <t>C65FE03C-1184-BE6C-DC83-3BA1AE83D4B1</t>
  </si>
  <si>
    <t>matter.long_matter_name</t>
  </si>
  <si>
    <t>alternate_matter_name</t>
  </si>
  <si>
    <t>AlternateMatterName</t>
  </si>
  <si>
    <t>6DDAFE45-64D1-9F84-FFFA-F8C6A8902CA4</t>
  </si>
  <si>
    <t>matter.alternate_matter_name</t>
  </si>
  <si>
    <t>alternate_matter_number</t>
  </si>
  <si>
    <t>AlternateMatterNumber</t>
  </si>
  <si>
    <t>E428F854-9DB1-2655-7455-8D6D3E1CC469</t>
  </si>
  <si>
    <t>matter.alternate_matter_number</t>
  </si>
  <si>
    <t>matter_create_date_utc</t>
  </si>
  <si>
    <t>cmidb_work</t>
  </si>
  <si>
    <t>createdon</t>
  </si>
  <si>
    <t>CAST(COALESCE(cmidb_work.createdon, curated_matter.matter_open_date_gmt) AS TIMESTAMP)</t>
  </si>
  <si>
    <t>Use query from the gbiz_matter_base_query tab</t>
  </si>
  <si>
    <t>SDGR: Re-label UTC</t>
  </si>
  <si>
    <t>A7178CD8-7E65-82CF-8641-E1D8CC01D201</t>
  </si>
  <si>
    <t>matter.matter_create_date_utc</t>
  </si>
  <si>
    <t>matter_name_cmi</t>
  </si>
  <si>
    <t>SDGR2304: Do we also want matter_description_cmi?</t>
  </si>
  <si>
    <t>6131C425-DE5D-1CAA-F1FB-1BE575F666B9</t>
  </si>
  <si>
    <t>matter.matter_name_cmi</t>
  </si>
  <si>
    <t>matter.member_firm_code_cmi</t>
  </si>
  <si>
    <t>matter_description_cmi</t>
  </si>
  <si>
    <t>description</t>
  </si>
  <si>
    <t>matter.matter_description_cmi</t>
  </si>
  <si>
    <t>billing_office_key</t>
  </si>
  <si>
    <t>JOIN to taxonomy_data_model.office on mds_matter.OfficeID = office.office_id</t>
  </si>
  <si>
    <t>D30499BD-33FB-AB7A-84F5-B2ABC52C4EFD</t>
  </si>
  <si>
    <t>matter.billing_office_key</t>
  </si>
  <si>
    <t>JOIN using mds_matter.NatureOfProceeding = nature_of_proceeding_code</t>
  </si>
  <si>
    <t>5E8A2C71-4D3F-4B9A-8C2E-1F7A6D3B0E92</t>
  </si>
  <si>
    <t>matter.nature_of_proceeding_key</t>
  </si>
  <si>
    <t>JOIN mds_matter to mds_matterstatus on MatterStatusID. Then JOIN mds_matterstatus to curated_matter_status (taxonomy) on COALESCE(SAPCode, PMSStatusCode) = matter_status_code</t>
  </si>
  <si>
    <t>SDGR: Needs a reference table
DF: Matter Status taxonomy
SDGR1904: Should be matter_status_key</t>
  </si>
  <si>
    <t>CE292B3A-E991-B697-470D-C16720C05B03</t>
  </si>
  <si>
    <t>matter.matter_status_key</t>
  </si>
  <si>
    <t>matter_status_cmi_key</t>
  </si>
  <si>
    <t>cmidb_workstatuses</t>
  </si>
  <si>
    <t>JOIN cmidb_work to cmidb_workstatuses on Status_id to obtain column
Then JOIN to matter_status using workstatuses.Key = matter_status_code</t>
  </si>
  <si>
    <t>take forward to gbiz</t>
  </si>
  <si>
    <t>matter.matter_status_cmi_key</t>
  </si>
  <si>
    <t>matter_company_code</t>
  </si>
  <si>
    <t>JOIN to office then to company (taxonomy) to obtain column</t>
  </si>
  <si>
    <t>SDGR2104: Rename matter_company_code_key. Links to company codes taxonomy
SDGR2904: Make this the natural key for Company Conde i.e. KZ11 for Almaty. The surrogate Key for Office gives us the Company Code from the Taxonomy</t>
  </si>
  <si>
    <t>BBA1E3C8-EB14-4585-87AF-B58B579321EB</t>
  </si>
  <si>
    <t>matter.matter_company_code</t>
  </si>
  <si>
    <t>JOIN using mds_matter.ClientID = client.client_id</t>
  </si>
  <si>
    <t>SDGR2304: Regions will send client number and member firm code</t>
  </si>
  <si>
    <t>F7C3A9D1-2E6B-4B8F-9A5D-3C1E7B2A6D8F</t>
  </si>
  <si>
    <t>matter.client_key</t>
  </si>
  <si>
    <t>JOIN using gmdr_sap_proj.ZZPRACTICEGROUP = practice_group_code</t>
  </si>
  <si>
    <t>F5126C56-CE93-879B-737C-8E7BC9140459</t>
  </si>
  <si>
    <t>matter.practice_group_key</t>
  </si>
  <si>
    <t>JOIN using gmdr_sap_zprs_mattercatt.MATTERCAT = matter_category_code</t>
  </si>
  <si>
    <t>SDGR: Needs a reference table
SDGR1904: Foreign Key and should be called matter_category_key
SDGR2004: DD to create a Matter Category Taxonomy - Done</t>
  </si>
  <si>
    <t>F3F11A18-976D-5EC2-8DF0-36725200DF4D</t>
  </si>
  <si>
    <t>matter.matter_category_key</t>
  </si>
  <si>
    <t>Confidential</t>
  </si>
  <si>
    <t>CASE WHEN Confidential IN ('Y', 'X') THEN true ELSE false</t>
  </si>
  <si>
    <t>088BEBA9-D98B-03A5-EE91-C7E05E9942BF</t>
  </si>
  <si>
    <t>matter.is_confidential</t>
  </si>
  <si>
    <t>matter_pass_through_flag</t>
  </si>
  <si>
    <t>ZZPASSTHRU</t>
  </si>
  <si>
    <t>when X then true else false</t>
  </si>
  <si>
    <t>12A93DD8-065E-7AEC-F385-6D326FA2D0C6</t>
  </si>
  <si>
    <t>matter.matter_pass_through_flag</t>
  </si>
  <si>
    <t>SDGR: Use Curreny_Key in ISO format as the surrogate key</t>
  </si>
  <si>
    <t>38B906F9-EBFF-21DC-7E22-C5E777D634DC</t>
  </si>
  <si>
    <t>matter.currency_code</t>
  </si>
  <si>
    <t>matter_jurisdiction_code_cmi</t>
  </si>
  <si>
    <t>cmidb_formanswers</t>
  </si>
  <si>
    <t>AnswerValue</t>
  </si>
  <si>
    <t>select w.WorkId, cast(fa.AnswerValue as xml).value('(/*:AutoCompleteAnswer/*:Key)[1]', 'char(2)' ) Juris, r.ModifiedOn from formanswers fa (nolock) inner join requests r (nolock) on r.form_id = fa.Form_Id inner join work w (nolock) on w.[id] = r.Matter_Id where fa.questionname = 'PrimaryMatterJurisdiction' and not fa.AnswerValue is null and r.ModifiedOn &gt; @fromdate. Obtain only single value</t>
  </si>
  <si>
    <t>SDGR2104: Could be a free text in SAP otherwise it needs a reference table</t>
  </si>
  <si>
    <t>F7B52187-DE6A-A27F-9A95-DAA795C31839</t>
  </si>
  <si>
    <t>matter.matter_jurisdiction_code_cmi</t>
  </si>
  <si>
    <t>matter_fee_estimate_cmi</t>
  </si>
  <si>
    <t>Requests.RequestsDefinition_ID = 3976. QuestionID = "155927581e3-2e4-d042b9ff09"
CAST (AnswerValue as float)</t>
  </si>
  <si>
    <t>15F82415-4474-01C1-3B78-CD9D31B3AF28</t>
  </si>
  <si>
    <t>matter.matter_fee_estimate_cmi</t>
  </si>
  <si>
    <t>matter_cost_estimate_cmi</t>
  </si>
  <si>
    <t>Requests.RequestsDefinition_ID = 3976. QuestionID = "156b127c1b2-3b1-139a654abcf"
CAST (AnswerValue as float)</t>
  </si>
  <si>
    <t>50A1D5AA-2976-8125-4819-025FE939FFCC</t>
  </si>
  <si>
    <t>matter.matter_cost_estimate_cmi</t>
  </si>
  <si>
    <t>JOIN using gmdr_sap_proj.ZZBILLFREQ = matter_billing_frequency_code</t>
  </si>
  <si>
    <t>SDGR: Needs a reference table
DDRI2004: Bill frequency taxonomy created</t>
  </si>
  <si>
    <t>CE6848A2-C052-A644-674D-60EC89ECB9C8</t>
  </si>
  <si>
    <t>matter.matter_billing_frequency_key</t>
  </si>
  <si>
    <t>JOIN using gmdr_sap_proj.ZZBILLMTHD = matter_billing_method_code</t>
  </si>
  <si>
    <t>SDGR2004: Z1 Email Z2 Fax Z3 Mail Z4 E-Bill Z5 Mail-Local Dispatch (will add this to the Sharepoint reference tab and ask regions to send - can be null)</t>
  </si>
  <si>
    <t>554E6B23-90ED-9EDB-FD20-EA370F30C993</t>
  </si>
  <si>
    <t>matter.matter_billing_method_key</t>
  </si>
  <si>
    <t>matter_open_date_utc</t>
  </si>
  <si>
    <t>MatterOpenDateGMT</t>
  </si>
  <si>
    <t>-MERGE RECORDS (Awaiting SG)</t>
  </si>
  <si>
    <t>3429175F-6203-CB27-8BF7-6AB6258C17ED</t>
  </si>
  <si>
    <t>matter.matter_open_date_utc</t>
  </si>
  <si>
    <t>matter_close_date_utc</t>
  </si>
  <si>
    <t>MatterCloseDateGMT</t>
  </si>
  <si>
    <t>441C3B52-4CBB-3DDB-A8F9-4FA20881D228</t>
  </si>
  <si>
    <t>matter.matter_close_date_utc</t>
  </si>
  <si>
    <t>matter_billable_flag</t>
  </si>
  <si>
    <t>MatterBillableFlag</t>
  </si>
  <si>
    <t>SDGR: Use this instead of gmdr_sap_proj.billable_status_code. Map this through to GBIZ</t>
  </si>
  <si>
    <t>68BAC96C-C8F4-896A-1E09-677A3C8C08D3</t>
  </si>
  <si>
    <t>matter.matter_billable_flag</t>
  </si>
  <si>
    <t>matter_time_unit</t>
  </si>
  <si>
    <t>MatterTimeUnit</t>
  </si>
  <si>
    <t>DDRI2004: Z1 '6 min', Z2 '15 min'</t>
  </si>
  <si>
    <t>7AA87951-D35E-1F4D-EB1C-007B81E4438C</t>
  </si>
  <si>
    <t>matter.matter_time_unit</t>
  </si>
  <si>
    <t>JOIN using mds_matter.SubIndustry = sic_code</t>
  </si>
  <si>
    <t>SDGR2104: Rename matter_sic_code_key. FK for the Matter Sectors Taxonomy</t>
  </si>
  <si>
    <t>C62D035F-D8F6-5799-E7B4-A224E86A9C62</t>
  </si>
  <si>
    <t>matter.matter_sector_key</t>
  </si>
  <si>
    <t>JOIN mds_matter to mds_team on TeamID. Then Join mds_team to subteam_cte on TeamID. Then join subteam_cte to team. Further details below</t>
  </si>
  <si>
    <t>775189C9-D6F7-A608-774C-B0DB060C88AC</t>
  </si>
  <si>
    <t>matter.team_key</t>
  </si>
  <si>
    <t>matter_purchase_order_number</t>
  </si>
  <si>
    <t>ZZIPPONUM</t>
  </si>
  <si>
    <t>CAST(gmdr_sap_proj.ZZIPPONUM AS VARCHAR(255)) AS MATTER_PURCHASE_ORDER_NUMBER</t>
  </si>
  <si>
    <t>2B435A5D-0798-6960-82BB-B9144B4ED08F</t>
  </si>
  <si>
    <t>matter.matter_purchase_order_number</t>
  </si>
  <si>
    <t>ip_matter_number</t>
  </si>
  <si>
    <t>ZZIP_REF_NUM</t>
  </si>
  <si>
    <t>CAST(gmdr_sap_proj.ZZIP_REF_NUM AS VARCHAR(100)) AS IP_MATTER_NUMBER</t>
  </si>
  <si>
    <t>6F0141CB-82F1-8F63-AD04-9CD951EFA62E</t>
  </si>
  <si>
    <t>matter.ip_matter_number</t>
  </si>
  <si>
    <t>JOIN using gmdr_sap_proj.ZZENTTYPE = matter_entry_type_code</t>
  </si>
  <si>
    <t>SDGR: Needs a reference table with values 01, 02, 03. Should be a foreign key and labelled matter_entry_type_key
SDGR2004: 01 Time, 02 Cost and 03 Time &amp; Cost - we will ask region to pass the values</t>
  </si>
  <si>
    <t>48BBA3B8-537F-9183-3651-3E02E3B30681</t>
  </si>
  <si>
    <t>matter.matter_entry_type_key</t>
  </si>
  <si>
    <t>MAX</t>
  </si>
  <si>
    <t>REPLACE(Comments, CHAR(1),'') &amp;
REPLACE(Comments, CHAR(9),'') &amp;
REPLACE(Comments, CHAR(10),'') &amp;
REPLACE(Comments, CHAR(12),'') &amp;
REPLACE(Comments, CHAR(13),'') &amp;
REPLACE(Comments, CHAR(22),'') &amp;
REPLACE(Comments, CHAR(27),'') &amp;
REPLACE(Comments, CHAR(32),'')</t>
  </si>
  <si>
    <t>A5F24EDE-08D0-3894-5025-83A7BC360E52</t>
  </si>
  <si>
    <t>matter.comments</t>
  </si>
  <si>
    <t>matter_pricing_group</t>
  </si>
  <si>
    <t>ZZMPRGRP</t>
  </si>
  <si>
    <t>CAST(gmdr_sap_proj.ZZMPRGRP AS VARCHAR(10)) AS MATTER_PRICING_GROUP</t>
  </si>
  <si>
    <t>AE840738-0DCC-42C8-EAB2-9B0D523A6864</t>
  </si>
  <si>
    <t>matter.matter_pricing_group</t>
  </si>
  <si>
    <t>client_bill_contact_code</t>
  </si>
  <si>
    <t>gmdr_sap_knvk</t>
  </si>
  <si>
    <t>PARNR</t>
  </si>
  <si>
    <t>matter.client_bill_contact_code</t>
  </si>
  <si>
    <t>client_bill_contact_name</t>
  </si>
  <si>
    <t>NAME1</t>
  </si>
  <si>
    <t>TRIM(CAST(CASE WHEN gmdr_sap_knvk_clientbc.NAMEV ='' THEN gmdr_sap_knvk_clientbc.NAME1 ELSE CONCAT(gmdr_sap_knvk_clientbc.NAMEV,' ',gmdr_sap_knvk_clientbc.NAME1) END AS VARCHAR(50)))  AS CLIENT_BILL_CONTACT_NAME</t>
  </si>
  <si>
    <t>82C1F9EC-DCA0-EA7A-008C-7D1AD2A90539</t>
  </si>
  <si>
    <t>matter.client_bill_contact_name</t>
  </si>
  <si>
    <t>payer_code</t>
  </si>
  <si>
    <t>PARVW = "PY" KLOESCZH &lt;&gt; X and highest counter</t>
  </si>
  <si>
    <t>matter.payer_code</t>
  </si>
  <si>
    <t>payer_name</t>
  </si>
  <si>
    <t>matter.payer_name</t>
  </si>
  <si>
    <t>z3_payer_code</t>
  </si>
  <si>
    <t>PARVW = "Z3" KLOESCZH &lt;&gt; X and highest counter</t>
  </si>
  <si>
    <t>matter.z3_payer_code</t>
  </si>
  <si>
    <t>z3_payer_name</t>
  </si>
  <si>
    <t>matter.z3_payer_name</t>
  </si>
  <si>
    <t>client_case_number</t>
  </si>
  <si>
    <t>ZZCLCASENBR</t>
  </si>
  <si>
    <t>CAST(gmdr_sap_proj.ZZCLCASENBR AS VARCHAR(255)) AS CLIENT_CASE_NUMBER</t>
  </si>
  <si>
    <t>236F8B7E-A7CC-E011-7CD2-A06D627B24EF</t>
  </si>
  <si>
    <t>matter.client_case_number</t>
  </si>
  <si>
    <t>client_case_description</t>
  </si>
  <si>
    <t>ZZCLCASENAME</t>
  </si>
  <si>
    <t>CAST(gmdr_sap_proj.ZZCLCASENAME AS VARCHAR(255)) AS CLIENT_CASE_DESC</t>
  </si>
  <si>
    <t>ACFDC803-F3DF-B562-BA1F-5FE3FCCA7E77</t>
  </si>
  <si>
    <t>matter.client_case_description</t>
  </si>
  <si>
    <t>group_billing</t>
  </si>
  <si>
    <t>GPMSGroupBilling</t>
  </si>
  <si>
    <t>DDRI: renamed to drop gpms_ prefix</t>
  </si>
  <si>
    <t>B97C39E8-BB7A-30A6-E628-C01E446F4066</t>
  </si>
  <si>
    <t>matter.group_billing</t>
  </si>
  <si>
    <t>reporting_group</t>
  </si>
  <si>
    <t>GPMSReportingGroup</t>
  </si>
  <si>
    <t>8E798760-51A6-3BB5-6958-25ED353303C3</t>
  </si>
  <si>
    <t>matter.reporting_group</t>
  </si>
  <si>
    <t>FB03BB5D-C8B3-5F8B-7D31-7F6AE01BAF34</t>
  </si>
  <si>
    <t>matter.is_sanctions_checked</t>
  </si>
  <si>
    <t>is_security_wall_created</t>
  </si>
  <si>
    <t>wallbuilder_usersecurity</t>
  </si>
  <si>
    <t>Matter_Id</t>
  </si>
  <si>
    <t>### Checks if there i Matter Id in the SecurityTable:
From Matter m
LEFT JOIN (SELECT DISTINCT MatterId FROM UserSecurity) mus 
ON mus.MatterId = m.MatterId</t>
  </si>
  <si>
    <t>4A4D4FE4-EBFE-8748-7AB7-CEB94C944E89</t>
  </si>
  <si>
    <t>matter.is_security_wall_created</t>
  </si>
  <si>
    <t>matter_phase_set_code</t>
  </si>
  <si>
    <t>zzphaseset</t>
  </si>
  <si>
    <t>Obtain latest using BEGDA desc partition by ZZPSPID</t>
  </si>
  <si>
    <t>D8826410-E957-057A-B927-32F6D6DD7048</t>
  </si>
  <si>
    <t>matter.matter_phase_set_code</t>
  </si>
  <si>
    <t>JOIN using mds_matter.TechnicalArea = technical_area_code</t>
  </si>
  <si>
    <t>SDGR2204: Added missing field. FK to the matter_worktype taxonomy</t>
  </si>
  <si>
    <t>C9992770-6730-EB4D-7971-98C573D757B8</t>
  </si>
  <si>
    <t>matter.work_type_key</t>
  </si>
  <si>
    <t>A01E3025-5287-645E-C60D-E32E0C2E3D14</t>
  </si>
  <si>
    <t>matter.is_active</t>
  </si>
  <si>
    <t>SDGR: Change label to UTC</t>
  </si>
  <si>
    <t>FE0E7D2D-1EC6-D128-45F1-320A40297146</t>
  </si>
  <si>
    <t>matter.last_updated_date_utc_at_source</t>
  </si>
  <si>
    <t>A7C4D1F2-9E3B-4B6F-8A12-5D7C9E3F1B6A</t>
  </si>
  <si>
    <t>matter.source_system</t>
  </si>
  <si>
    <t>3F9B2C7D-6A1E-4E8F-9C21-7D5A3B8E2F4C</t>
  </si>
  <si>
    <t>matter.inserted_process_instance_id</t>
  </si>
  <si>
    <t>B1E8F3A6-2D7C-4C9B-A531-6F2D8E7A4C9B</t>
  </si>
  <si>
    <t>matter.updated_process_instance_id</t>
  </si>
  <si>
    <t>6D2F9C1A-8B3E-4F7A-BC42-9E1D3A6F8C5B</t>
  </si>
  <si>
    <t>matter.inserted_process_queue_id</t>
  </si>
  <si>
    <t>C8A1E7D4-5F2B-4D9C-8E63-1A7F3B2D6C9E</t>
  </si>
  <si>
    <t>matter.updated_process_queue_id</t>
  </si>
  <si>
    <t>2E7A4C9F-1D3B-4A8E-B952-8C6F1D7A3E5B</t>
  </si>
  <si>
    <t>matter.inserted_date_time</t>
  </si>
  <si>
    <t>9A3D6F1C-7E2B-4B8A-AC41-5F9D2E7C3B6A</t>
  </si>
  <si>
    <t>matter.updated_date_time</t>
  </si>
  <si>
    <t>5B8E2C7A-4D1F-4E9C-BA73-2A6F8D1C9E3B</t>
  </si>
  <si>
    <t>matter.natural_key_hash</t>
  </si>
  <si>
    <t>Subqueries / CTEs:</t>
  </si>
  <si>
    <t>subteam_cte contains a single subteam mapping for each team ID and member firm code</t>
  </si>
  <si>
    <t>inner join mds_team (t) to mds_team (tt) on TeamCode and MemberFirm Code and EntityTypeCode = "P"</t>
  </si>
  <si>
    <t>inner join mds_subteam (qualify the most relevant subteam per Team ID) as st on tt.TeamID = st.TeamID and tt.MemberFIrmCode = st.MemberFirmCode</t>
  </si>
  <si>
    <t>filtered to "NRAUS" and "NRJAK" MemberFirmCodes</t>
  </si>
  <si>
    <t>MDS:</t>
  </si>
  <si>
    <t>left join mds_matterstatus to mds_matter on mds_matter.MatterStatusID = mds_matterstatus.MatterStatusID</t>
  </si>
  <si>
    <t>left join mds_team to mds_matter on mds_matter.TeamID = mds_team.TeamID</t>
  </si>
  <si>
    <t>left join subteam_cte to mds_team on subteam_cte.TeamID = mds_team.TeamI</t>
  </si>
  <si>
    <t>GMDR:</t>
  </si>
  <si>
    <t>left join gmdr_sap_proj to mds_matter on mds_matter.MatterNumber = gmdr_sap_proj.PSPID and mds_matter.MemberFirmCode = "GPMS"</t>
  </si>
  <si>
    <t>left join gmdr_sap_zprs_mat_ph_set to gmdr_sap_proj on gmdr_sap_proj.PSPID = gmdr_sap_zprs_mat_ph_set.ZZPSPID. Obtain latest with partition by zzpspid order by begda desc</t>
  </si>
  <si>
    <t>left join gmdr_sap_ihpa to gmdr_sap_proj on gmdr_sap_ihpa.PSPID = gmdr_sap_proj.PSPID and gmdr_sap_ihpa.kloesch &lt;&gt; "X"</t>
  </si>
  <si>
    <t>left join gmdr_sap_knvk to gmdr_sap_ihpa on gmdr_sap_ihpa.parnr = gmdr_sap_knvk.PARNR and gmdr_sap_knvk.kzloesch &lt;&gt; "X"</t>
  </si>
  <si>
    <t>CMIDB:</t>
  </si>
  <si>
    <t>left join cmidb_work to gmdr_sap_proj on cast(substring(cmidb_work.WORKID, instr(cmidb_work.WORKID, '-') + 1, length(cmidb_work.WORKID)) as string) = gmdr_sap_proj.PSPID</t>
  </si>
  <si>
    <t>left join cmidb_workstatuses to cmidb_work on cmidb_work.Status_Id = cmidb_workstatuses.Id</t>
  </si>
  <si>
    <t>left join cmidb_formanswers_juris to cmidb_work on cmidb_formanswers_juris .WorkId = cmidb_work.WorkId</t>
  </si>
  <si>
    <t>left join cmidb_formanswers_fee_estimate to cmidb_work on cmidb_formanswers_fee_estimate.WorkId = cmidb_work.WorkId</t>
  </si>
  <si>
    <t>left join cmidb_formanswers_cost_estimate to cmidb_work on cmidb_formanswers_cost_estimate .WorkId = cmidb_work.WorkId</t>
  </si>
  <si>
    <t>Wallbuilder:</t>
  </si>
  <si>
    <t>left join wallbuilder_usersecurity to mds_matter on wallbuilder_usersecurity.matterid = mds_matter.MatterNumber</t>
  </si>
  <si>
    <t>Canonical data model:</t>
  </si>
  <si>
    <t>left join canonical_data_model.curated_client (client) to mds_matter on try_cast(mds_matter.ClientID as string) = client.client_id</t>
  </si>
  <si>
    <t>Taxonomy data model:</t>
  </si>
  <si>
    <t>left join taxonomy_data_model.curated_nature_of_proceeding (nature_of_proceeding) to mds_matter on mds_matter.NatureOfProceeding = nature_of_proceeding.nature_of_proceeding_code</t>
  </si>
  <si>
    <t>left join taxonomy_data_model.curated_matter_status (matter_status) to mds_matterstatus on coalesce(mds_matterstatus.SAPCode, mds_matterstatus.PMSStatusCode) = matter_status.matter_status_code</t>
  </si>
  <si>
    <t>left join taxonomy_data_model.curated_practice_group (practice_group) to gmdr_sap_proj on gmdr_sap_proj.zzpracticegroup = practice_group.practice_group_code</t>
  </si>
  <si>
    <t>left join taxonomy_data_model.curated_matter_category (matter_category) to gmdr_sap_proj on gmdr_sap_proj.ZZMATTERCAT = matter_category.matter_category_code</t>
  </si>
  <si>
    <t>left join taxonomy_data_model.curated_matter_billing_frequency (billing_frequency) to gmdr_sap_proj on gmdr_sap_proj.ZZBILLFREQ = billing_frequency.matter_billing_frequency_code</t>
  </si>
  <si>
    <t>left join taxonomy_data_model.curated_matter_billing_method (billing_method) to gmdr_sap_proj on gmdr_sap_proj.ZZBILLMTHD = billing_method.matter_billing_method_code</t>
  </si>
  <si>
    <t>left join taxonomy_data_model.curated_matter_sector (matter_sector) to mds_matter on mds_matter.SubIndustry = matter_sector.sic_code</t>
  </si>
  <si>
    <t>left join taxonomy_data_model.curated_matter_entry_type (entry_type) to gmdr_sap_proj on gmdr_sap_proj.ZZENTTYPE = entry_type.matter_entry_type_code</t>
  </si>
  <si>
    <t>left join taxonomy_data_model.curated_work_type (work_type) to mds_matter on mds_matter.TechnicalArea = work_type.technical_area_cod</t>
  </si>
  <si>
    <t>left join taxonomy_data_model.curated_office (office) to mds_matter on try_cast(mds_matter.OfficeID as string) = office.office_id</t>
  </si>
  <si>
    <t>left join taxonomy_data_model.curated_company (company) to office on office.company_key = company.company_key</t>
  </si>
  <si>
    <t>left join taxonomy_data_model.curated_team (team) to mds_team/subteam_cte on coalesce(subteam_cte.SubTeamCode, mds_team.TeamCode) = team.team_code and coalesce(subteam_cte.MemberFirmCode, mds_team.MemberFirmCode) = team.member_firm_code</t>
  </si>
  <si>
    <t>left join taxonomy_data_model.curated_matter_status (matter_status_cmi) to cmidb_workstatuses on cmidb_workstatuses.Key = matter_status_cmi.matter_status_code</t>
  </si>
  <si>
    <t>See Matters to Migrate sheet</t>
  </si>
  <si>
    <t>SDGR2605: client_bill_contact_name</t>
  </si>
  <si>
    <t>matter_key_initiative</t>
  </si>
  <si>
    <t>matter_key_initiative_key</t>
  </si>
  <si>
    <t>cmidb_nrf_keyinitiatives</t>
  </si>
  <si>
    <t>Work_Id</t>
  </si>
  <si>
    <t>JOIN using cmidb_nrf_key_initiatives.KeyInitiative_Id = global_strategic_initiative_code</t>
  </si>
  <si>
    <t>JOIN using cmidb_nrf_key_initiatives.Work_Id = matter_number AND member_firm_code = "GPMS"</t>
  </si>
  <si>
    <t>DF: added this column for consistency with other tables</t>
  </si>
  <si>
    <t>LastModified</t>
  </si>
  <si>
    <t>SDGR2104: New CM table to move global key initiatives out of the matter table to their own table</t>
  </si>
  <si>
    <t>SDGR2104: This data will be received from CMI not the regional FMSs</t>
  </si>
  <si>
    <t>left join canonical_data_model.matter to cmidb_nrf_key_initiatives on matter.matter_number = cmidb_nrf_key_initiatives.Work_id and matter.member_firm_code = "GPMS"</t>
  </si>
  <si>
    <t>left join taxonomy_data_model.global_strategic_initiative to cmidb_nrf_keyinitiatives on global_strategic_initiative.global_strategic_initiative_code = cmidb_nrf_keyinitiatives.KeyInitiative_Id</t>
  </si>
  <si>
    <t>cmidb__nrf_keyinitiatives.Active = true</t>
  </si>
  <si>
    <t>Obtain the latest by qualify with partition by work_id and keyinitiative_id and order by Id desc</t>
  </si>
  <si>
    <t>matter_partner_allocation_key</t>
  </si>
  <si>
    <t>4A8D1C7F-2E3B-4F9A-BC5D-6E1A7F3C2D88</t>
  </si>
  <si>
    <t>matter_partner_allocation.matter_partner_allocation_key</t>
  </si>
  <si>
    <t>PSPID</t>
  </si>
  <si>
    <t>SDGR2104: FK and NK</t>
  </si>
  <si>
    <t>matter_partner_allocation.matter_number</t>
  </si>
  <si>
    <t>JOIN mds_matter to mds_person on BillingAttorneyID, CloseAttorneyID, OpenAttorneyID, ResponsibleAttorneyID = PersonID to obtain column</t>
  </si>
  <si>
    <t>JOIN using gmdr_sap_zprs_tkalocmattr.PARVW = partner_function.sap_code</t>
  </si>
  <si>
    <t>SDGR2104: FK and NK - Foreign ket to the Partner Function reference table
Need a reference table for ZL ZQ and ZR. Maybe ZP
Also New partner function for Lead Associate, Responsible Attorney, Open Attorney, Close Attorney and Billing Attorney</t>
  </si>
  <si>
    <t>97F94796-50C1-F1DA-72DD-5F4E0D6379F4</t>
  </si>
  <si>
    <t>matter_partner_allocation.partner_function_key</t>
  </si>
  <si>
    <t>SELECT partner_function_key FROM partner_function WHERE partner_function_code = "BLAT"
SELECT partner_function_key FROM partner_function WHERE partner_function_code = "CLAT"
SELECT partner_function_key FROM partner_function WHERE partner_function_code = "OPAT"
SELECT partner_function_key FROM partner_function WHERE partner_function_code = "RSPT"</t>
  </si>
  <si>
    <t>JOIN using gmdr_sap_zprs_tkalocmattr.WERKS= office.office_code</t>
  </si>
  <si>
    <t>SDGR2104: FK and NK. Not mandt. Needed when the partner_function is 'Supervising Partner'</t>
  </si>
  <si>
    <t>matter_partner_allocation.office_key</t>
  </si>
  <si>
    <t>JOIN using mds_matter.OfficeID = office.office_id</t>
  </si>
  <si>
    <t>JOIN using gmdr_sap_zprs_tkalocmattr.ZZTEAM = team.team_code and member_firm_code = "GPMS"</t>
  </si>
  <si>
    <t>matter_partner_allocation.team_key</t>
  </si>
  <si>
    <t>JOIN mds_person to mds_subteam on SubTeamID. THEN JOIN mds_subteam to taxonomy team on SubTeamCode=team_code</t>
  </si>
  <si>
    <t>SDGR2104: BK</t>
  </si>
  <si>
    <t>8E01876F-2351-5557-A33F-35A548D74497</t>
  </si>
  <si>
    <t>matter_partner_allocation.begin_date</t>
  </si>
  <si>
    <t>1DD5714C-9053-935A-2844-AA7A53B6A96B</t>
  </si>
  <si>
    <t>matter_partner_allocation.end_date</t>
  </si>
  <si>
    <t>COALESCE(MatterCloseDateGMT, "9999-12-31")</t>
  </si>
  <si>
    <t>associate_person_number</t>
  </si>
  <si>
    <t>PERNR_ASSOC</t>
  </si>
  <si>
    <t>matter_partner_allocation.associate_person_number</t>
  </si>
  <si>
    <t>ZZALLOCPERCET</t>
  </si>
  <si>
    <t>19F8F779-B107-96CD-5281-9F2CC90778C2</t>
  </si>
  <si>
    <t>matter_partner_allocation.allocation_percentage</t>
  </si>
  <si>
    <t>941C47D9-68BF-1C5B-326D-62A8B8790BC9</t>
  </si>
  <si>
    <t>matter_partner_allocation.matter_key</t>
  </si>
  <si>
    <t>DMF: Use matter_partner_key SDGR2104: I think this should be person_key
SDGR2104: FK and NK</t>
  </si>
  <si>
    <t>B9E3D7A2-1C4F-4B8E-AD6C-5F2A9D1E7C33</t>
  </si>
  <si>
    <t>matter_partner_allocation.person_key</t>
  </si>
  <si>
    <t>associate_person_key</t>
  </si>
  <si>
    <t>matter_partner_allocation.associate_person_key</t>
  </si>
  <si>
    <t>SDGR: Rename isActive</t>
  </si>
  <si>
    <t>7F36551E-431C-E7D5-88F3-2687BC2D7787</t>
  </si>
  <si>
    <t>matter_partner_allocation.is_active</t>
  </si>
  <si>
    <t>3F913243-BD58-1A14-8080-3BAD8FE436F7</t>
  </si>
  <si>
    <t>matter_partner_allocation.last_updated_date_utc_at_source</t>
  </si>
  <si>
    <t>3F2A8B9C-7D1E-4C65-AE21-9B6F0D3A5C77</t>
  </si>
  <si>
    <t>matter_partner_allocation.source_system</t>
  </si>
  <si>
    <t>A1C4E7D2-9B3F-4F8A-82D1-6E5C9A0B2D11</t>
  </si>
  <si>
    <t>matter_partner_allocation.inserted_process_instance_id</t>
  </si>
  <si>
    <t>5D9E2A7B-3C1F-4E8D-B6A2-1F7C0E9B4A55</t>
  </si>
  <si>
    <t>matter_partner_allocation.updated_process_instance_id</t>
  </si>
  <si>
    <t>C8B2F1A4-6E3D-4D7A-91C0-2A5F8E3B7D99</t>
  </si>
  <si>
    <t>matter_partner_allocation.inserted_process_queue_id</t>
  </si>
  <si>
    <t>9A4C7E2D-1B6F-4A3C-8D2E-5F0B9A1C6E33</t>
  </si>
  <si>
    <t>matter_partner_allocation.updated_process_queue_id</t>
  </si>
  <si>
    <t>E2D7A1F9-8C4B-4B6E-AB31-7D9E2C5F0A88</t>
  </si>
  <si>
    <t>matter_partner_allocation.inserted_date_time</t>
  </si>
  <si>
    <t>7B1E9D4C-2A6F-4C8E-95B3-0F2D7A1C9E44</t>
  </si>
  <si>
    <t>matter_partner_allocation.updated_date_time</t>
  </si>
  <si>
    <t>F6C3A8E1-5D2B-4F7C-83A9-6E1D0B4A2C66</t>
  </si>
  <si>
    <t>matter_partner_allocation.natural_key_hash</t>
  </si>
  <si>
    <t>Union GMDR data with MDS data
4 mds cte's required. One for each partner function: BLAT, CLAT, OPAT, RSPT</t>
  </si>
  <si>
    <t>inner join taxonomy_data_model.partner_function to gmdr_sap_zprs_tkalocmattr on partner_function.sap_code = gmdr_sap_zprs_tkalocmattr.PARVW</t>
  </si>
  <si>
    <t>inner join gmdr_person_mastered to gmdr_sap_zprs_tkalocmattr on PERNR</t>
  </si>
  <si>
    <t>left join canonical_data_model.matter to gmdr_sap_zprs_tkalocmattr on matter.matter_number = gmdr_sap_zprs_tkalocmattr.PSPID and matter.member_firm_code = "GPMS"</t>
  </si>
  <si>
    <t>left join taxonomy_data_model.office to gmdr_sap_zprs_tkalocmattr on office.office_code = gmdr_sap_zprs_tkalocmattr.WERKS</t>
  </si>
  <si>
    <t>left join taxonomy_data_model.team to gmdr_sap_zprs_tkalocmattr on team.team_code = gmdr_sap_zprs_tkalocmattr.ZZTEAM</t>
  </si>
  <si>
    <t>left join gmdr_person_mastered to gmdr_sap_zprs_tkalocmattr on ASSOC_PERNR</t>
  </si>
  <si>
    <t>left join mds_personsystemmap to gmdr_person_mastered on gmdr_person_mastered.PERSONID_EXT = cast(coalesce(mds_personsystemmap.GPMSExternalPersonID, mds_personsystemmap.GPMSPersonnelNumber) as string) and len(cast(coalesce(mds_personsystemmap.GPMSExternalPersonID, mds_personsystemmap.GPMSPersonnelNumber) as string)) = 6 and gmdr_person_mastered.rn = 1</t>
  </si>
  <si>
    <t>Obtain the latest with partition by pspid, pernr, parvw, werks, zzteam, begda and order by ZZCTSTAMP desc, TIMESTAMP desc</t>
  </si>
  <si>
    <t>inner join mds_person to mds_matter on mds_matter.BillingAttorneyID / CloseAttorneyID /  OpenAttorneyID / ResponsibleAttorneyID = mds_person.PersonID</t>
  </si>
  <si>
    <t>left join taxonomy_data_model.office to mds_matter on office.office_id = mds_office.OfficeID</t>
  </si>
  <si>
    <t>left join mds_subteam to mds_person on mds_subteam.SubTeamID = mds_person.SubTeamID</t>
  </si>
  <si>
    <t>left join taxonomy_data_model.team to mds_subteam on team.team_code = mds_subteam.SubTeamCode AND team.member_firm_code = mds_subteam.MemberFirmCode</t>
  </si>
  <si>
    <t>left join canonical_data_model.matter to mds_matteron CAST(MatterID as string) = matter_id</t>
  </si>
  <si>
    <t>SDGR2605</t>
  </si>
  <si>
    <t>Associates: Lead Associate 1:1 Lead Partner (only ever 1 Lead Partner per Member Firm)</t>
  </si>
  <si>
    <t>Associates: Supervising Associate 1:1 Supervising Partner (however ever n Supervising Partners per Member Firm = multiples per Team and Office) - WHY do we even need Assoicates is it for GBIZ?</t>
  </si>
  <si>
    <t>Need to move back to having a field for associate in the record, not a partner function</t>
  </si>
  <si>
    <t>matter_party</t>
  </si>
  <si>
    <t>matter_party_key</t>
  </si>
  <si>
    <t>WorkId</t>
  </si>
  <si>
    <t>Join cmidb_partytoworkrelationships to cmidb_work on cmidb_partytoworkrelationships.Work_Id = cmidb_work.Id</t>
  </si>
  <si>
    <t>party_number</t>
  </si>
  <si>
    <t>PartyId</t>
  </si>
  <si>
    <t>Join cmidb_partytoworkrelationships to cmidb_parties on cmidb_partytoworkrelationships.Party_Id = cmidb_parties.Id</t>
  </si>
  <si>
    <t>Join cmidb_work to canonical_data_model.matter on matter_number = cast(substring(cmidb_work.WORKID, instr(cmidb_work.WORKID, '-') + 1, length(cmidb_work.WORKID)) as string)</t>
  </si>
  <si>
    <t>party_name</t>
  </si>
  <si>
    <t>Deleted</t>
  </si>
  <si>
    <t>CASE WHEN Deleted = true THEN 0 ELSE 1</t>
  </si>
  <si>
    <t>inner Join cmidb_partytoworkrelationships to cmidb_work on cmidb_partytoworkrelationships.Work_Id = cmidb_work.Id</t>
  </si>
  <si>
    <t>inner Join cmidb_partytoworkrelationships to cmidb_parties on cmidb_partytoworkrelationships.Party_Id = cmidb_parties.Id</t>
  </si>
  <si>
    <t>left Join cmidb_work to canonical_data_model.matter on matter_number = cast(substring(cmidb_work.WORKID, instr(cmidb_work.WORKID, '-') + 1, length(cmidb_work.WORKID)) as string)</t>
  </si>
  <si>
    <t>cmidb_partytoworkrelationships.Deleted is false</t>
  </si>
  <si>
    <t>Obtain the latest with partition by matter_number, party_number, member_firm_code and order by last_updated_date_utc_at_source desc</t>
  </si>
  <si>
    <t>Target Field SIze</t>
  </si>
  <si>
    <t>person_relationship_key</t>
  </si>
  <si>
    <t>7B2E1A90-3F6D-4C8A-B5D1-9E2F6C7A4B11</t>
  </si>
  <si>
    <t>person_relationship.person_relationship_key</t>
  </si>
  <si>
    <t>person_number_1</t>
  </si>
  <si>
    <t>JOIN PersonRelationship to Person on PersonRelationship.PersonID1 =Person.PersonID to obtain column</t>
  </si>
  <si>
    <t>SDGR2104: FK and NK - Person table</t>
  </si>
  <si>
    <t>A238D2D3-9185-0136-05D4-22DC960B7352</t>
  </si>
  <si>
    <t>person_relationship.person_number_1</t>
  </si>
  <si>
    <t>member_firm_code_1</t>
  </si>
  <si>
    <t>E15295C2-860C-5AE5-4991-556F5EE48043</t>
  </si>
  <si>
    <t>person_relationship.member_firm_code_1</t>
  </si>
  <si>
    <t>person_number_2</t>
  </si>
  <si>
    <t>JOIN PersonRelationship to Person on PersonRelationship.PersonID2 =Person.PersonID to obtain column</t>
  </si>
  <si>
    <t>5F98A020-06F6-8F3D-9349-4FDADEA71273</t>
  </si>
  <si>
    <t>person_relationship.person_number_2</t>
  </si>
  <si>
    <t>member_firm_code_2</t>
  </si>
  <si>
    <t>4C58A7DE-3CF8-0C33-7753-3776EEC8A6C0</t>
  </si>
  <si>
    <t>person_relationship.member_firm_code_2</t>
  </si>
  <si>
    <t>person_1_key</t>
  </si>
  <si>
    <t>JOIN to person to obtain surrogate key</t>
  </si>
  <si>
    <t>AB668912-0BF6-FC3F-01DB-53AAD0C90519</t>
  </si>
  <si>
    <t>person_relationship.person_1_key</t>
  </si>
  <si>
    <t>person_2_key</t>
  </si>
  <si>
    <t>3C10C719-14B7-FF49-5D6F-D71429734A33</t>
  </si>
  <si>
    <t>person_relationship.person_2_key</t>
  </si>
  <si>
    <t>relationship_description</t>
  </si>
  <si>
    <t>RelationshipTypeName</t>
  </si>
  <si>
    <t>Will be default to either FeeEarnerToSecretary or FeeEarnerToManager
SDGR2104: Not needed as key, Person_1 and Person_2 should be enough</t>
  </si>
  <si>
    <t>FF15BF92-FBA4-AF56-B8D4-45A303DB805E</t>
  </si>
  <si>
    <t>person_relationship.relationship_description</t>
  </si>
  <si>
    <t>primary_flag</t>
  </si>
  <si>
    <t>PrimaryFlag</t>
  </si>
  <si>
    <t>DB5DD6D6-D746-2DCB-EC1E-7F5073427F03</t>
  </si>
  <si>
    <t>person_relationship.primary_flag</t>
  </si>
  <si>
    <t>9562E1FD-AA60-341D-0662-5F1D1875D308</t>
  </si>
  <si>
    <t>person_relationship.is_active</t>
  </si>
  <si>
    <t>8D742973-C249-CEB5-38AC-3C62073384F4</t>
  </si>
  <si>
    <t>person_relationship.last_updated_date_utc_at_source</t>
  </si>
  <si>
    <t>3F7A9D2E-6C1B-4E8A-9F2D-1B7C5A8E3D90</t>
  </si>
  <si>
    <t>person_relationship.source_system</t>
  </si>
  <si>
    <t>A91C4F6B-2E7D-4A3F-8C1E-5D9B2F7A6C14</t>
  </si>
  <si>
    <t>person_relationship.inserted_process_instance_id</t>
  </si>
  <si>
    <t>5B2E7C9D-1A4F-4D8C-9E3A-7F1B6C2D8A90</t>
  </si>
  <si>
    <t>person_relationship.updated_process_instance_id</t>
  </si>
  <si>
    <t>D4A8C1F2-7E3B-4B9D-8F2C-6A1E9D5B3C70</t>
  </si>
  <si>
    <t>person_relationship.inserted_process_queue_id</t>
  </si>
  <si>
    <t>8E1B6A4C-9D2F-4C7A-8B3E-1F5D2A9C7E60</t>
  </si>
  <si>
    <t>person_relationship.updated_process_queue_id</t>
  </si>
  <si>
    <t>2C9D5A7E-4B1F-4E8D-9A6C-3F7B2D1A8E90</t>
  </si>
  <si>
    <t>person_relationship.inserted_date_time</t>
  </si>
  <si>
    <t>F7A3C1E9-6D2B-4F8A-9C5E-1B4D7A2C6E80</t>
  </si>
  <si>
    <t>person_relationship.updated_date_time</t>
  </si>
  <si>
    <t>6A2D8F1C-9B4E-4A7D-8E3F-5C1A9B2D7F60</t>
  </si>
  <si>
    <t>person_relationship.natural_key_hash</t>
  </si>
  <si>
    <t>SDGR: Only for US and EMEA</t>
  </si>
  <si>
    <t>left join mds_relationshiptype to mds_personrelationship on RelationshipTypeID</t>
  </si>
  <si>
    <t xml:space="preserve">left join mds_person as mds_person1 to mds_personrelationship on mds_person1.person_id = mds_personrelationship.PersonID1 </t>
  </si>
  <si>
    <t xml:space="preserve">left join mds_person as mds_person2 to mds_personrelationship on mds_person2.person_id = mds_personrelationship.PersonID2 </t>
  </si>
  <si>
    <t>left join canonical_data_model.person as p1 to mds_person1 on p1.person_number = mds_person1.SystemEmployeeCode and p1.member_firm_code = mds_person1.MemberFirmCode</t>
  </si>
  <si>
    <t>left join canonical_data_model.person as p2 to mds_person2 on p2.person_number = mds_person2.SystemEmployeeCode and p2.member_firm_code = mds_person2.MemberFirmCode</t>
  </si>
  <si>
    <t>PersonRelationship.Active = true</t>
  </si>
  <si>
    <t>See Employees to Migrate sheet</t>
  </si>
  <si>
    <t>SDGR20260504: Not sure the member_firm_cide_2 is needed</t>
  </si>
  <si>
    <t>matter_relationship_key</t>
  </si>
  <si>
    <t>parent_matter_number</t>
  </si>
  <si>
    <t>Self Join on ParentMatterID to obtain column</t>
  </si>
  <si>
    <t>parent_member_firm_code</t>
  </si>
  <si>
    <t>matter_relationship_type</t>
  </si>
  <si>
    <t>"Parent"</t>
  </si>
  <si>
    <t>hard coded value dependent on scenario</t>
  </si>
  <si>
    <t>parent_matter_key</t>
  </si>
  <si>
    <t>SDGR: Assume this is a new table to show the relationship between Matters e.g. Group Matters or Parent Child. If so We need to understand the current MDS mappings for downstream systems</t>
  </si>
  <si>
    <t>SDGR2004: Does this remove the need for parent_matter_key in the matter table?</t>
  </si>
  <si>
    <t>SDGR2104: Group matter not relevant for GPMS, NRAUS or NRJAK</t>
  </si>
  <si>
    <t>inner join mds_matter as parent_mds_matter to mds_matter on mds_matter.ParentMatterID = parent_mds_matter.MatterID</t>
  </si>
  <si>
    <t>left join canonical_data_model.matter on matter_number and member_firm_code</t>
  </si>
  <si>
    <t>left join canonical_data_model.matter as parent_matter on parent_matter_number and parent_member_firm_code</t>
  </si>
  <si>
    <t>Filters</t>
  </si>
  <si>
    <t>A3F9D7E2-6C4B-4D8E-9A21-5F7C2B8E1D34</t>
  </si>
  <si>
    <t>person.person_key</t>
  </si>
  <si>
    <t>LTRIM(RTRIM(SystemEmployeeCode))</t>
  </si>
  <si>
    <t>SDGR2304: PersonNumber
SDGR2304: This is the HR ID (SystemEMployeeCode)</t>
  </si>
  <si>
    <t>0007AA5E-4198-CAC2-877C-0117616B8A27</t>
  </si>
  <si>
    <t>person.person_number</t>
  </si>
  <si>
    <t>36711377-A52D-4065-0128-67BBD50604D2</t>
  </si>
  <si>
    <t>person.member_firm_code</t>
  </si>
  <si>
    <t>GPMSExternalPersonNumber</t>
  </si>
  <si>
    <t>For AUS/JAK concat memberfirmcode-systememployeecode
For GPMS use GPMSPersonnelNumber if populated otherwise GPMSExternalPersonId</t>
  </si>
  <si>
    <t>8AA34B2E-AF9B-74F6-D611-9D36D614DECD</t>
  </si>
  <si>
    <t>person.timekeeper_id</t>
  </si>
  <si>
    <t>person_id</t>
  </si>
  <si>
    <t>PersonID</t>
  </si>
  <si>
    <t>Convert(VARCHAR(50), PersonID)</t>
  </si>
  <si>
    <t>SDGR2104: FK - Regions will not send this, they will send PersonNumber</t>
  </si>
  <si>
    <t>469214BD-2110-0FD9-AD9C-259ECBEC9494</t>
  </si>
  <si>
    <t>person.person_id</t>
  </si>
  <si>
    <t>person_status_code</t>
  </si>
  <si>
    <t>PersonStatusCode</t>
  </si>
  <si>
    <t>SDGR2004: All regtions E or T</t>
  </si>
  <si>
    <t>A23B7C42-622B-457D-06E4-3205E1CF8D41</t>
  </si>
  <si>
    <t>person.person_status_code</t>
  </si>
  <si>
    <t>Gender</t>
  </si>
  <si>
    <t>Requires masking</t>
  </si>
  <si>
    <t>4AA3854D-9EDF-1FA1-6945-5CD6E8637509</t>
  </si>
  <si>
    <t>person.gender</t>
  </si>
  <si>
    <t>prefix</t>
  </si>
  <si>
    <t>Prefix</t>
  </si>
  <si>
    <t>B55340AB-D4FC-5116-096A-9C296BE67200</t>
  </si>
  <si>
    <t>person.prefix</t>
  </si>
  <si>
    <t>first_name</t>
  </si>
  <si>
    <t>FirstName</t>
  </si>
  <si>
    <t>9AB57A05-763F-247D-3AE8-61B8615F2B83</t>
  </si>
  <si>
    <t>person.first_name</t>
  </si>
  <si>
    <t>first_name_known_as</t>
  </si>
  <si>
    <t>FirstNameKnownAs</t>
  </si>
  <si>
    <t>ISNULL(FirstNameKnownAs,'') &amp; LTRIM(RTRIM(FirstNameKnownAs))</t>
  </si>
  <si>
    <t>F3E6526B-B251-6E3A-C389-133FFCCF0BD5</t>
  </si>
  <si>
    <t>person.first_name_known_as</t>
  </si>
  <si>
    <t>middle_name</t>
  </si>
  <si>
    <t>MiddleName</t>
  </si>
  <si>
    <t>LTRIM(RTRIM(LastName)</t>
  </si>
  <si>
    <t>A0DC7DE8-85CC-9ADE-B99A-380D6B4695A0</t>
  </si>
  <si>
    <t>person.middle_name</t>
  </si>
  <si>
    <t>last_name</t>
  </si>
  <si>
    <t>LastName</t>
  </si>
  <si>
    <t>D50F46CA-F2C9-B1F8-E50D-CB8CB4E44C8C</t>
  </si>
  <si>
    <t>person.last_name</t>
  </si>
  <si>
    <t>suffix</t>
  </si>
  <si>
    <t>Suffix</t>
  </si>
  <si>
    <t>D3D972AE-7434-0914-0289-DDDBB6263BCD</t>
  </si>
  <si>
    <t>person.suffix</t>
  </si>
  <si>
    <t>initials</t>
  </si>
  <si>
    <t>Initials</t>
  </si>
  <si>
    <t>08F96D2B-B265-590A-597A-837C15F9485C</t>
  </si>
  <si>
    <t>person.initials</t>
  </si>
  <si>
    <t>photo_path</t>
  </si>
  <si>
    <t>PhotoPath</t>
  </si>
  <si>
    <t>AB7544BB-8D1A-E0C6-856B-0E450C44E4C0</t>
  </si>
  <si>
    <t>person.photo_path</t>
  </si>
  <si>
    <t>commencement_date_utc</t>
  </si>
  <si>
    <t>CommencementDateGMT</t>
  </si>
  <si>
    <t>SDGR2004: UTC</t>
  </si>
  <si>
    <t>E46EAE28-15DA-B3E1-61C7-63DA4CB7D1F4</t>
  </si>
  <si>
    <t>person.commencement_date_utc</t>
  </si>
  <si>
    <t>departure_date_utc</t>
  </si>
  <si>
    <t>DepartureDateGMT</t>
  </si>
  <si>
    <t>COALESCE(DepartureDateGMT, "9999-12-31")</t>
  </si>
  <si>
    <t>7E7A882C-481F-FB0B-B85C-C6CE46ED055D</t>
  </si>
  <si>
    <t>person.departure_date_utc</t>
  </si>
  <si>
    <t>leave_status</t>
  </si>
  <si>
    <t>LeaveStatus</t>
  </si>
  <si>
    <t>1528FA7C-D7AF-7F44-A86C-D831D51EE3A8</t>
  </si>
  <si>
    <t>person.leave_status</t>
  </si>
  <si>
    <t>JOIN using mds_person.SubTeamID = mds_subteam.SubTeamID. Then JOIN mds_subteam to mds_team on TeamID and mds_team.EntityTypeCode =  "PE". Then join to team on team_code = COALESCE(SubTeamCode, TeamCode) AND member_firm_code = COALESCE(mds_subteam.MemberFIrmCode, mds_team.MemberFirmCode)</t>
  </si>
  <si>
    <t>?</t>
  </si>
  <si>
    <t>SDGR2004: SubTeam Taxonomy (might end up being team_key)</t>
  </si>
  <si>
    <t>98FF4EE2-606D-37F5-283E-17F10CCDFC50</t>
  </si>
  <si>
    <t>person.team_key</t>
  </si>
  <si>
    <t>job_title</t>
  </si>
  <si>
    <t>JobTitle</t>
  </si>
  <si>
    <t>LTRIM(RTRIM(JobTitle)</t>
  </si>
  <si>
    <t>1367F4D1-D401-DD68-1A19-97BD197D0A5C</t>
  </si>
  <si>
    <t>person.job_title</t>
  </si>
  <si>
    <t>job_title_pms</t>
  </si>
  <si>
    <t>JobTitlePMS</t>
  </si>
  <si>
    <t>LTRIM(RTRIM(LastTitlePMS)</t>
  </si>
  <si>
    <t>F31E015B-BE69-1145-FBF3-5E0BC26F34F8</t>
  </si>
  <si>
    <t>person.job_title_pms</t>
  </si>
  <si>
    <t>JOIN using mds_person.PracticeGroup = practice_group_code</t>
  </si>
  <si>
    <t>SDGR2004: Practice Group Taxonomy</t>
  </si>
  <si>
    <t>5A6A2592-4E10-8D78-2082-AE456C79F221</t>
  </si>
  <si>
    <t>person.practice_group_key</t>
  </si>
  <si>
    <t>year_of_call</t>
  </si>
  <si>
    <t>YearOfCall</t>
  </si>
  <si>
    <t>72C36D17-5E2A-AFD2-BF47-10524B460EFD</t>
  </si>
  <si>
    <t>person.year_of_call</t>
  </si>
  <si>
    <t>desk_location</t>
  </si>
  <si>
    <t>DeskLocation</t>
  </si>
  <si>
    <t>31896507-C8BF-9F03-04FA-4BBAF27F2BD1</t>
  </si>
  <si>
    <t>person.desk_location</t>
  </si>
  <si>
    <t>domain_name</t>
  </si>
  <si>
    <t>DomainName</t>
  </si>
  <si>
    <t>LTRIM(RTRIM(DomainName))</t>
  </si>
  <si>
    <t>SDGR: Check why CMI, EM and CVs need this</t>
  </si>
  <si>
    <t>FDC2C531-A6CA-2F1D-CAB3-B0FDCFBC0A83</t>
  </si>
  <si>
    <t>person.domain_name</t>
  </si>
  <si>
    <t>unified_sap_person_external_id</t>
  </si>
  <si>
    <t>GPMSExternalPersonID</t>
  </si>
  <si>
    <t>CAST(COALESCE(mds_personsystemmap.GPMSEXTERNALPERSONID,mds_personsystemmap.GPMSPERSONNELNUMBER) AS VARCHAR(50)) AS PersonExternalId</t>
  </si>
  <si>
    <t>SDGR2304: Timekeeper ID (PERNR from SAP and HumanResourcesSystemId from Workday-Aderant)
SDGR2304: Should this be renamed Timekeeper Id?</t>
  </si>
  <si>
    <t>E95DEE1E-260F-B10B-0C51-87DA7A67C3A7</t>
  </si>
  <si>
    <t>person.unified_sap_person_external_id</t>
  </si>
  <si>
    <t>windows_login</t>
  </si>
  <si>
    <t>WindowsLogin</t>
  </si>
  <si>
    <t>LTRIM(RTRIM(WindowsLogin))</t>
  </si>
  <si>
    <t>1CF7CB21-0514-566D-9BBD-EA0B130999EA</t>
  </si>
  <si>
    <t>person.windows_login</t>
  </si>
  <si>
    <t>dms_system_id</t>
  </si>
  <si>
    <t>DMSSystemID</t>
  </si>
  <si>
    <t>LTRIM(RTRIM(DMSID.DMSSystemID))</t>
  </si>
  <si>
    <t>SDGR: Check why CMI needs this</t>
  </si>
  <si>
    <t>1DEF5725-C7C1-5874-5549-5A759A8339FF</t>
  </si>
  <si>
    <t>person.dms_system_id</t>
  </si>
  <si>
    <t>human_resources_system_id</t>
  </si>
  <si>
    <t>HumanResourcesSystemID</t>
  </si>
  <si>
    <t xml:space="preserve">LTRIM(RTRIM(HumanResourcesSystemID)) </t>
  </si>
  <si>
    <t>SDGR: How id this different from SystemEmployee Code?</t>
  </si>
  <si>
    <t>8ABC7E45-DEAC-6A19-9FEB-B030FCFA8504</t>
  </si>
  <si>
    <t>person.human_resources_system_id</t>
  </si>
  <si>
    <t>work_phone_number</t>
  </si>
  <si>
    <t>LTRIM(RTRIM(phoneNumber))
Join mds_phone to person on phone.entity_id = person.personid
WHERE PhoneTypeCode = "W"</t>
  </si>
  <si>
    <t>CF3694FE-608E-C58D-5937-AFF224822CF9</t>
  </si>
  <si>
    <t>person.work_phone_number</t>
  </si>
  <si>
    <t>work_phone_extension</t>
  </si>
  <si>
    <t>PhoneExtension</t>
  </si>
  <si>
    <t>Join mds_phone to person on phone.entity_id = person.personid
WHERE PhoneTypeCode = "W"</t>
  </si>
  <si>
    <t>65083CEF-62E0-4CAA-8DD8-9DAED7C69A65</t>
  </si>
  <si>
    <t>person.work_phone_extension</t>
  </si>
  <si>
    <t>mobile_phone_number</t>
  </si>
  <si>
    <t>LTRIM(RTRIM(phoneNumber))
Join mds_phone to person on phone.entity_id = person.personid
WHERE PhoneTypeCode = "M"</t>
  </si>
  <si>
    <t>C1D67DF3-86EC-7C2E-C22D-C2524725878F</t>
  </si>
  <si>
    <t>person.mobile_phone_number</t>
  </si>
  <si>
    <t>email_address</t>
  </si>
  <si>
    <t>EmailAddress</t>
  </si>
  <si>
    <t>LTRIM(RTRIM(EmailAddress))
JOIN on EntityID to PersonID
WHERE EmailTypeCode = "W"</t>
  </si>
  <si>
    <t>B9366DAB-52BB-92DB-08E7-8AAA0851CF49</t>
  </si>
  <si>
    <t>person.email_address</t>
  </si>
  <si>
    <t>employee_name_reporting</t>
  </si>
  <si>
    <t>CONCAT(mds_person2.LastName,', ',coalesce(mds_person2.FirstNameKnownAs,mds_person2.FirstName),' (', gmdr_sap_pa0001_ex.PERNR,')') AS EMPLOYEE_NAME_REPORTING</t>
  </si>
  <si>
    <t>use query as a base from gbiz_person_assignment_query tab</t>
  </si>
  <si>
    <t>F6C61935-D084-AEF9-A763-508E0D55B89C</t>
  </si>
  <si>
    <t>person.employee_name_reporting</t>
  </si>
  <si>
    <t>JOIN mds_cost_center to mds_person on mds_costcenter.CostCenterId = mds_person.CostCentreID. THEN join mds_costcenter to curated_cost_centre on cost_centre_code = COALESCE(mds_costcentre.CostCenter, gmdr_sap_pa0001.KOSTL)</t>
  </si>
  <si>
    <t>SDGR: Surrogate key to cost centre</t>
  </si>
  <si>
    <t>2F7E9C1A-5B3D-4A8C-B2E1-6D9F3C7A0B55</t>
  </si>
  <si>
    <t>person.cost_centre_key</t>
  </si>
  <si>
    <t>JOIN using gmdr_sap_pa0001.BUKRS = company_code</t>
  </si>
  <si>
    <t>CB9D8595-F08D-6C02-53F4-A3C247B11853</t>
  </si>
  <si>
    <t>person.company_key</t>
  </si>
  <si>
    <t>JOIN using mds_personlocale.OfficeID = office_id</t>
  </si>
  <si>
    <t>D8A1C7F3-2E6B-4D9A-9F3C-7A1E5B2D6C44</t>
  </si>
  <si>
    <t>person.office_key</t>
  </si>
  <si>
    <t>JOIN using gmdr_sap_pa0001.PERSK = employee_sub_group_code</t>
  </si>
  <si>
    <t>4A206FE6-1623-C6B3-A79F-1BD4CB54C638</t>
  </si>
  <si>
    <t>person.employee_sub_group_key</t>
  </si>
  <si>
    <t>JOIN using gmdr_sap_pa9007.ZZBLVL = band_level_code</t>
  </si>
  <si>
    <t>C8C7006B-0833-DFF2-9CD1-0AD3EA22C7EF</t>
  </si>
  <si>
    <t>person.band_level_key</t>
  </si>
  <si>
    <t>person_record_rank</t>
  </si>
  <si>
    <t>CASE
        WHEN CAST(COALESCE(mps.GPMSExternalPersonID, mps.GPMSPersonnelNumber) AS VARCHAR(50)) IS NULL
            THEN 1
        ELSE ROW_NUMBER() OVER (
            PARTITION BY CAST(COALESCE(mps.GPMSExternalPersonID, mps.GPMSPersonnelNumber) AS VARCHAR(50))
            ORDER BY
                CASE WHEN mp.DeleteFlag NOT IN ('Y', '1') THEN 1 ELSE 2 END, -- 1. Active records
                CASE WHEN mp.DeleteFlag NOT IN ('Y', '1') AND COALESCE(mp.DepartureDateGMT, "9999-12-31") = "9999-12-31"  THEN 1 ELSE 2 END,  -- 2. Within  Active records, Prefer no departure_date_utc
                COALESCE(mp.DepartureDateGMT, "9999-12-31") DESC, -- 3. Most recent departure date
                mp.LastUpdatedDateGMT DESC, -- 4. Most recent updated
                mp.PersonID DESC -- 5. Last resort, take maximum person_id
        )
    END</t>
  </si>
  <si>
    <t>added column as technical requirement for filtering</t>
  </si>
  <si>
    <t>DeleteFlag</t>
  </si>
  <si>
    <t>CASE WHEN DeleteFlag in ("Y", "1") THEN 0 ELSE 1</t>
  </si>
  <si>
    <t>DF: added this column for consistency</t>
  </si>
  <si>
    <t>D8A1F3C7-5E2B-4A9D-8C6F-1B7E3D2A9C5F</t>
  </si>
  <si>
    <t>person.is_active</t>
  </si>
  <si>
    <t>8293A101-17E2-DB76-51C8-F77B84183CB3</t>
  </si>
  <si>
    <t>person.last_updated_date_utc_at_source</t>
  </si>
  <si>
    <t>7F3A9C4E-2D1B-4A6F-8E2C-9B7D5F1A3C88</t>
  </si>
  <si>
    <t>person.source_system</t>
  </si>
  <si>
    <t>A1D4E9B2-6C7F-4F3A-9E21-5B8C0D7A2F66</t>
  </si>
  <si>
    <t>person.inserted_process_instance_id</t>
  </si>
  <si>
    <t>3C8F2E1A-9B7D-4D5C-8A6F-1E2B9A7C4D55</t>
  </si>
  <si>
    <t>person.updated_process_instance_id</t>
  </si>
  <si>
    <t>B5E7C2A9-1D3F-4B6A-8C9E-7F2A1D4C3E44</t>
  </si>
  <si>
    <t>person.inserted_process_queue_id</t>
  </si>
  <si>
    <t>D2A9F7C1-8E4B-4C3D-9A6F-5B1E2C7D8F33</t>
  </si>
  <si>
    <t>person.updated_process_queue_id</t>
  </si>
  <si>
    <t>9E1C4B7A-2D8F-4A6C-8B3E-1F7D2C9A5E22</t>
  </si>
  <si>
    <t>person.inserted_date_time</t>
  </si>
  <si>
    <t>F4B2D8A7-3C1E-4F6A-9D8B-2A7C1E5F9B11</t>
  </si>
  <si>
    <t>person.updated_date_time</t>
  </si>
  <si>
    <t>6A7E2C9D-5B1F-4D3A-8C9E-3F2A7D1B4C00</t>
  </si>
  <si>
    <t>person.natural_key_hash</t>
  </si>
  <si>
    <t>SDGR: Need to work through with Daniel Driver. We have two sources of Office, the Taxonomy and this table from the GMDR.</t>
  </si>
  <si>
    <t>person_assignment, person_locale, person_system_map, phone and email now merged in</t>
  </si>
  <si>
    <t>Person record rank logic: Obtain single record for person.unified_sap_person_external_id by in first instance take active record. If more than on active record, take the record without a departure date, then the latest based on the most recent departure_date. If there is no active record,, take the record with the most recent departure date. If there are multiple active records or no active records, and the departure date doesn't help then go with the most recent last_update_date</t>
  </si>
  <si>
    <t>gmdr_person_mastered contains a single mastered GPMS person record per PERSONID_EXT</t>
  </si>
  <si>
    <t>inner join gmdr_sap_pa0709 to gmdr_sap_pa0000 on PERNR</t>
  </si>
  <si>
    <t>Obtain active records (ENDDA = "9999-12-31")</t>
  </si>
  <si>
    <t>Prefer STAT2 = 1 or 3, otherwise fall back to the latest STAT2 = 0 using BEGDA to rank</t>
  </si>
  <si>
    <t>left join mds_personlocale to mds_person on mds_personlocale.PersonID = mds_person.PersonID</t>
  </si>
  <si>
    <t>left join mds_personsystemmap to mds_person on mds_personsystemmap.PersonID = mds_person.PersonID</t>
  </si>
  <si>
    <t>left join mds_phone (work_phone) to mds_person on mds_phone.EntityID = mds_person.PersonID and mds_phone.PhoneTypeCode = "W"</t>
  </si>
  <si>
    <t>left join mds_phone (mobile_phone) to mds_person on mds_phone.EntityID = mds_person.PersonID and mds_phone.PhoneTypeCode = "M"</t>
  </si>
  <si>
    <t>left join mds_email to mds_person on mds_email.EntityID = mds_person.PersonID and mds_email.EmailTypeCode = "W"</t>
  </si>
  <si>
    <t>left join mds_personcostcentre to mds_person on mds_personcostcentre.PersonId = mds_person.PersonID</t>
  </si>
  <si>
    <t>left join mds_team to mds_subteam on mds_team.TeamID = mds_subteam.TeamID and mds_team.MemberFirmCode = mds_person.MemberFirmCode and mds_team.EntityTypeCode = "PE"</t>
  </si>
  <si>
    <t>left join mds_costcenter to mds_personcostcentre on mds_costcenter.CostCenterId = mds_personcostcentre.CostCentreID</t>
  </si>
  <si>
    <t>left join gmdr_person_mastered to mds_personsystemmap on gmdr_person_mastered.PERSONID_EXT = cast(coalesce(mds_personsystemmap.GPMSExternalPersonID, mds_personsystemmap.GPMSPersonnelNumber) as string) and len(cast(coalesce(mds_personsystemmap.GPMSExternalPersonID, mds_personsystemmap.GPMSPersonnelNumber) as string)) = 6 and gmdr_person_mastered.rn = 1</t>
  </si>
  <si>
    <t>left join gmdr_sap_pa0001 to gmdr_person_mastered on gmdr_sap_pa0001.PERNR = gmdr_person_mastered.PERNR and gmdr_sap_pa0001.ENDDA = "9999-12-31"</t>
  </si>
  <si>
    <t>left join gmdr_sap_pa9007 to gmdr_sap_pa0001 on gmdr_sap_pa9007.PERNR = gmdr_sap_pa0001.PERNR and gmdr_sap_pa9007.ENDDA = "9999-12</t>
  </si>
  <si>
    <t>left join canonical_data_model.curated_cost_centre (cost_centre) to mds_costcenter/gmdr_sap_pa0001 on cost_centre.cost_centre_code = coalesce(mds_costcenter.CostCenter, gmdr_sap_pa0001.KOSTL)</t>
  </si>
  <si>
    <t>left join taxonomy_data_model.curated_practice_group (practice_group) to mds_person on mds_person.PracticeGroup = practice_group.practice_group_code</t>
  </si>
  <si>
    <t>left join taxonomy_data_model.curated_office (office) to mds_personlocale on try_cast(mds_personlocale.OfficeID as string) = office.office_id</t>
  </si>
  <si>
    <t>left join taxonomy_data_model.curated_team (team) to mds_team on mds_team.TeamCode = team.team_code and mds_person.MemberFirmCode = team.member_firm_code</t>
  </si>
  <si>
    <t>left join taxonomy_data_model.curated_band_level (band_level) to gmdr_sap_pa9007 on gmdr_sap_pa9007.ZZBLVL = band_level.band_level_code</t>
  </si>
  <si>
    <t>left join taxonomy_data_model.curated_employee_sub_group (employee_sub_group) to gmdr_sap_pa0001 on gmdr_sap_pa0001.PERSK = employee_sub_group.employee_sub_group_code</t>
  </si>
  <si>
    <t>left join taxonomy_data_model.curated_company (company) to gmdr_sap_pa0001 on gmdr_sap_pa0001.BUKRS = company.company_code</t>
  </si>
  <si>
    <t>walls_user_security</t>
  </si>
  <si>
    <t>walls_user_security_key</t>
  </si>
  <si>
    <t>user_security_id</t>
  </si>
  <si>
    <t>UserSecurityId</t>
  </si>
  <si>
    <t>nrf_region</t>
  </si>
  <si>
    <t>NRF_Region</t>
  </si>
  <si>
    <t>JOIN ClientId to client on client_number to obtain surrogate key</t>
  </si>
  <si>
    <t>JOIN MatterId to matter on matter_number to obtain surrogate key</t>
  </si>
  <si>
    <t>UserId</t>
  </si>
  <si>
    <t>JOIN UserId to person on windowslogin to obtain surrogate key</t>
  </si>
  <si>
    <t>access_type</t>
  </si>
  <si>
    <t>AccessType</t>
  </si>
  <si>
    <t>Modified</t>
  </si>
  <si>
    <t>left join canonical_data_model.client to wallbuilder_usersecurity on client.client_number = wallbuilder_usersecurity.ClientId</t>
  </si>
  <si>
    <t>left join canonical_data_model.matter to wallbuilder_usersecurity on matter.matter_number = wallbuilder_usersecurity.MatterId</t>
  </si>
  <si>
    <t>left join canonical_data_model.person to wallbuilder_usersecurity on person.windowslogin = wallbuilder_usersecurity.UserId</t>
  </si>
  <si>
    <t>Obtain single record for person by in first instance take active record. If more than on active record, take the record without a departure date, then the latest based on the most recent departure_date. If there is no active record,, take the record with the most recent departure date. If there are multiple active records or no active records, and the departure date doesn't help then go with the most recent last_update_date</t>
  </si>
  <si>
    <t>SORT</t>
  </si>
  <si>
    <t>matter_office_key</t>
  </si>
  <si>
    <t>JOIN to office to obtain surrogate key</t>
  </si>
  <si>
    <t>SDGR2104: Is FK and NK</t>
  </si>
  <si>
    <t>B9F3E2C1-6A4D-4F8B-9C7E-1D2A5B3C8E6F</t>
  </si>
  <si>
    <t>MatterOffice_OfficeCode</t>
  </si>
  <si>
    <t>JOIN to matter to obtain surrogate key</t>
  </si>
  <si>
    <t>3E7A1C9D-5B2F-4A6E-8D1C-7F9B3E2A4C6D</t>
  </si>
  <si>
    <t>MatterOffice_MatterNumber</t>
  </si>
  <si>
    <t>9333AF0B-14FF-D132-4048-F88955123525</t>
  </si>
  <si>
    <t>MatterOffice_MemberFirmCode</t>
  </si>
  <si>
    <t>SDGR: In UTC</t>
  </si>
  <si>
    <t>EFC050ED-4C46-9C66-19DA-740AC7F3AE59</t>
  </si>
  <si>
    <t>MatterOffice_LastUpdatedDateUTCAtSource</t>
  </si>
  <si>
    <t>PS: Should that be in scope or table should be removed. Office seems to join directly to the Matter in one to may relationship.</t>
  </si>
  <si>
    <t>Required because Matter to Office is many to many</t>
  </si>
  <si>
    <t>left join taxonomy_data_model.office to mds_matteroffice on office.office_id = mds_matteroffice.OfficeID</t>
  </si>
  <si>
    <t>left join canonical_data_model.matter to mds_matteroffice on matter.matter_id = mds_matteroffice.MatterID</t>
  </si>
  <si>
    <t>OPEN Matters and ACTIVE Clients PLUS CLOSED Matters and their associated Clients where the Matter was Closed On or After 01-Apr-2020</t>
  </si>
  <si>
    <t>MemberFirmCode in ("GPMS", "NRAUS", "NRJAK")</t>
  </si>
  <si>
    <t>address_type_key</t>
  </si>
  <si>
    <t>address_type_id</t>
  </si>
  <si>
    <t>AddressTypeID</t>
  </si>
  <si>
    <t xml:space="preserve">CONVERT(NVARCHAR(50), AddressTypeID) </t>
  </si>
  <si>
    <t>address_type_name</t>
  </si>
  <si>
    <t>AddressTypeName</t>
  </si>
  <si>
    <t>last_updated_by_at_source</t>
  </si>
  <si>
    <t>LastUpdatedBy</t>
  </si>
  <si>
    <t>SDGR: Drop the entire table out of the model</t>
  </si>
  <si>
    <t>band_group_key</t>
  </si>
  <si>
    <t>BandGroup</t>
  </si>
  <si>
    <t>Language</t>
  </si>
  <si>
    <t>SDGR2104: We are going to drop this table as we don't need language variations. We need to add band_group_description to the band_level taxonomy</t>
  </si>
  <si>
    <t>client_matter_billing_key</t>
  </si>
  <si>
    <t>SDGR: Always null</t>
  </si>
  <si>
    <t>cmbid</t>
  </si>
  <si>
    <t>CMBID</t>
  </si>
  <si>
    <t>JOIN TO (taxonomy) currency and obtain surrogate key</t>
  </si>
  <si>
    <t>SDGR: Use the ISO Code not surrogate key</t>
  </si>
  <si>
    <t>billing_type</t>
  </si>
  <si>
    <t>BillingType</t>
  </si>
  <si>
    <t>SDGR: Joins to mds_billingtype.billtypeid</t>
  </si>
  <si>
    <t>billing_value</t>
  </si>
  <si>
    <t>BillingValue</t>
  </si>
  <si>
    <t>money</t>
  </si>
  <si>
    <t>last_tran_date</t>
  </si>
  <si>
    <t>Last_Tran_Date</t>
  </si>
  <si>
    <t>SDGR: Drop the entire table out of the model. Will instead summarise from ChronoMetrics Transactional Data (FEES_BILLED_DC)</t>
  </si>
  <si>
    <t>client_relationship_key</t>
  </si>
  <si>
    <t>child_client_key</t>
  </si>
  <si>
    <t>JOIN to client to obtain surrogate key</t>
  </si>
  <si>
    <t>parent_client_key</t>
  </si>
  <si>
    <t>ParentClientID</t>
  </si>
  <si>
    <r>
      <rPr>
        <sz val="11"/>
        <color rgb="FF000000"/>
        <rFont val="Calibri"/>
        <scheme val="minor"/>
      </rPr>
      <t xml:space="preserve">SDGR: This looks like a new table from the Parent-Child relationship in mds_client.
SDGR2004: Currently ParentClientId is only maintained by NRAUS and NRJAK. </t>
    </r>
    <r>
      <rPr>
        <b/>
        <sz val="11"/>
        <color rgb="FF000000"/>
        <rFont val="Calibri"/>
        <scheme val="minor"/>
      </rPr>
      <t>Talk to DD as I don't think a new table is needed - its also not mapped anywhere</t>
    </r>
  </si>
  <si>
    <t>client_matter_sic_relationship_key</t>
  </si>
  <si>
    <t>ClientSICCode</t>
  </si>
  <si>
    <t>JOIN to client_sector (taxonomy) to obtain surrogate key</t>
  </si>
  <si>
    <t>MatterSubIndustryCode</t>
  </si>
  <si>
    <t>JOIN to matter_sector (taxonomy) to obtain surrogate key</t>
  </si>
  <si>
    <t>SDGR: Does this replace mds.sap_zprs_hd_ibg_sic ?</t>
  </si>
  <si>
    <t>SDGR1604: Remove this table</t>
  </si>
  <si>
    <t>client_member_firm_key</t>
  </si>
  <si>
    <t>JOIN to Client to obtain surrogate key</t>
  </si>
  <si>
    <t>member_firm_key</t>
  </si>
  <si>
    <t>JOIN to MemberFirm to obtain surrogate key</t>
  </si>
  <si>
    <t>JOIN TO (taxonomy) company and obtain surrogate key</t>
  </si>
  <si>
    <t>client_member_firm_id</t>
  </si>
  <si>
    <t>ClientMemberFirmID</t>
  </si>
  <si>
    <t xml:space="preserve">CONVERT(NVARCHAR(50), ClientMemberFirmID) </t>
  </si>
  <si>
    <t>SDGR: Drop the entire table out of the model. In the future the lowest level of granularity for Client will be ClientNumber + MemberFirmCode</t>
  </si>
  <si>
    <t>client_status_key</t>
  </si>
  <si>
    <t>IDENTITY COLUMN (1,1), Filtering MemberFirmCode IN (GPMS, NRAUS, NRJAK)</t>
  </si>
  <si>
    <t>LTRIM(RTRIM([MemberFirmCode])) &amp; ISNULL(MemberFirmCode,'')
JOIN to member_firm to obtain surrogate key</t>
  </si>
  <si>
    <t>pms_status_code</t>
  </si>
  <si>
    <t>PMSStatusCode</t>
  </si>
  <si>
    <t>client_status_id</t>
  </si>
  <si>
    <t>ClientStatusID</t>
  </si>
  <si>
    <t>CONVER(NVARCHAR(50), ClientStatusID)</t>
  </si>
  <si>
    <t>ClientStatus</t>
  </si>
  <si>
    <t>SDGR: I would like to drop this table out of the model as it is only being used for AUS / JAK and these will disappear when AUS migrates to EMEAPAC CMI and Aderant. Can we simply map the AUS client statuses into mds.mds_client.isActive</t>
  </si>
  <si>
    <t>email_key</t>
  </si>
  <si>
    <t>IDENTITY COLUMN (1,1), Filter out Not Active</t>
  </si>
  <si>
    <t>email_type_key</t>
  </si>
  <si>
    <t>EmailTypeCode</t>
  </si>
  <si>
    <t>JOIN to email_type to obtain surrogate key</t>
  </si>
  <si>
    <t>SDGR: We only hold one email address, move it to the Person Table</t>
  </si>
  <si>
    <t>custom_1</t>
  </si>
  <si>
    <t>Custom1</t>
  </si>
  <si>
    <t>custom_2</t>
  </si>
  <si>
    <t>Custom2</t>
  </si>
  <si>
    <t>custom_3</t>
  </si>
  <si>
    <t>Custom3</t>
  </si>
  <si>
    <t>custom_4</t>
  </si>
  <si>
    <t>Custom4</t>
  </si>
  <si>
    <t>EntityID</t>
  </si>
  <si>
    <t>CAST(EntityID as STRING)
JOIN to person to obtain surrogate key</t>
  </si>
  <si>
    <t>SDGR: Drop the table out of the model</t>
  </si>
  <si>
    <t>email_type_id</t>
  </si>
  <si>
    <t>EmailTypeID</t>
  </si>
  <si>
    <t>CONVERT(NVARCHAR(50), EmailTypeID)</t>
  </si>
  <si>
    <t>email_type_code</t>
  </si>
  <si>
    <t>email_type_name</t>
  </si>
  <si>
    <t>EmailTypeName</t>
  </si>
  <si>
    <t>employee_group_key</t>
  </si>
  <si>
    <t>language_key</t>
  </si>
  <si>
    <t>JOIN to language (taxonomy) to obtain surrogate key</t>
  </si>
  <si>
    <t>active</t>
  </si>
  <si>
    <t>modified</t>
  </si>
  <si>
    <t>SDGR: Where is this in the mds? Ask Dan Criver</t>
  </si>
  <si>
    <t>SDGR: gmdr.sap_titlecodes</t>
  </si>
  <si>
    <t>entity_type_key</t>
  </si>
  <si>
    <t>entity_type_id</t>
  </si>
  <si>
    <t>EntityTypeID</t>
  </si>
  <si>
    <t>CONVER(VARCHAR(50), EntityTypeID)</t>
  </si>
  <si>
    <t>entity_type_code</t>
  </si>
  <si>
    <t>EntityTypeCode</t>
  </si>
  <si>
    <t>entity_type_name</t>
  </si>
  <si>
    <t>EntityTypeName</t>
  </si>
  <si>
    <t>entity_table_name</t>
  </si>
  <si>
    <t>EntityTableName</t>
  </si>
  <si>
    <t>SDGR: Drop this table from the CM</t>
  </si>
  <si>
    <t>group_key</t>
  </si>
  <si>
    <t>JOIN to member_firm to obtain surrogate key</t>
  </si>
  <si>
    <t>JOIN to entity_type to obtain surrogate key</t>
  </si>
  <si>
    <t>group_code</t>
  </si>
  <si>
    <t>GroupCode</t>
  </si>
  <si>
    <t>group_id</t>
  </si>
  <si>
    <t>GroupID</t>
  </si>
  <si>
    <t>CONVERT(VARCHAR(50), GroupID)</t>
  </si>
  <si>
    <t>group_name</t>
  </si>
  <si>
    <t>GroupName</t>
  </si>
  <si>
    <t>org_category_key</t>
  </si>
  <si>
    <t>OrgCategoryID</t>
  </si>
  <si>
    <t>JOIN to org_category to obtain surrogate key</t>
  </si>
  <si>
    <t>manager_key</t>
  </si>
  <si>
    <t>ManagerID</t>
  </si>
  <si>
    <t>iso_639_1_code</t>
  </si>
  <si>
    <t>ISO6391Code</t>
  </si>
  <si>
    <t>SDGR2104: These cannot both be business key</t>
  </si>
  <si>
    <t>iso_639_2_code</t>
  </si>
  <si>
    <t>ISO6392Code</t>
  </si>
  <si>
    <t>english_name_of_language</t>
  </si>
  <si>
    <t>EnglishnameofLanguage</t>
  </si>
  <si>
    <t>french_name_of_language</t>
  </si>
  <si>
    <t>FrenchnameofLanguage</t>
  </si>
  <si>
    <t>german_name_of_language</t>
  </si>
  <si>
    <t>GermannameofLanguage</t>
  </si>
  <si>
    <t>SDGR2104: DD I'm not sure how the data in this taxonomy relates to other language keys in the model</t>
  </si>
  <si>
    <t>SDGR2104: Remove this taxonomy if there's no language in any of the CM orTransactional Tables - it is used in the Taxonomy but we have control over those values</t>
  </si>
  <si>
    <t>matter_partner_key</t>
  </si>
  <si>
    <t>partner_key</t>
  </si>
  <si>
    <t>matter_partner_function_key</t>
  </si>
  <si>
    <t>PARVW</t>
  </si>
  <si>
    <t>JOIN to matter_partner_function to obtain surrogate key</t>
  </si>
  <si>
    <t>SDGR2104: Rename partner_function_key
SDGR: Need a reference table for BP PV SP Z1 Z2 Z3 Z4 ZE ZL ZO and ZS
Also New partner function for Lead Associate, Responsible Attorney, Open Attorney, Close Attorney and Billing Attorney
Needs member firm code
This must also be part of the business key</t>
  </si>
  <si>
    <t>KZLOESCH</t>
  </si>
  <si>
    <t>CASE WHEN KZLOESCH = "X" THEN 0 ELSE 1</t>
  </si>
  <si>
    <t>SDGR: Will need a reference table for Matter Partner Function</t>
  </si>
  <si>
    <t>SDGR2104: We are going to merge this into the matter_partner_allocation table</t>
  </si>
  <si>
    <t>DF: Are we making this table red?</t>
  </si>
  <si>
    <t>matter_phase_set_key</t>
  </si>
  <si>
    <t>ZZPHASESET</t>
  </si>
  <si>
    <t>aenam</t>
  </si>
  <si>
    <t>AENAM</t>
  </si>
  <si>
    <t>beginning_date</t>
  </si>
  <si>
    <t>created_timestamp_at_source_utc</t>
  </si>
  <si>
    <t>ZZCTSTAMP</t>
  </si>
  <si>
    <t>ernam</t>
  </si>
  <si>
    <t>ERNAM</t>
  </si>
  <si>
    <t>ZZPSPID</t>
  </si>
  <si>
    <t>timestamp</t>
  </si>
  <si>
    <t>updated_timestamp_at_source_utc</t>
  </si>
  <si>
    <t>ZZCHTSTAMP</t>
  </si>
  <si>
    <t>SDGR: Could collapse this into Matter if GBIZ only wants a current Phase Set Code (and maybe description) and not the history i.e. Start and End Dates</t>
  </si>
  <si>
    <t>SDGR2104: Take this table of of the CM. All the matter phase set, phase, task and activity details are in the ChronoMetrics table and the pahse set is also on the matter table</t>
  </si>
  <si>
    <t>matter_related_party_key</t>
  </si>
  <si>
    <t>Work_id</t>
  </si>
  <si>
    <t>related_party_key</t>
  </si>
  <si>
    <t>Party_id</t>
  </si>
  <si>
    <t>JOIN to related_party to obtain surrogate key</t>
  </si>
  <si>
    <t>comment</t>
  </si>
  <si>
    <t>Comment</t>
  </si>
  <si>
    <t>conflicts_affiliation_type_id</t>
  </si>
  <si>
    <t>ConflictsAffiliationType_Id</t>
  </si>
  <si>
    <t>conflicts_relationship_type_id</t>
  </si>
  <si>
    <t>ConflictsRelationshipType_Id</t>
  </si>
  <si>
    <t>conflicts_relationship_type_ids_json</t>
  </si>
  <si>
    <t>ConflictsRelationshipTypeIdsJson</t>
  </si>
  <si>
    <t>created_by_id_at_source</t>
  </si>
  <si>
    <t>CreatedBy_Id</t>
  </si>
  <si>
    <t>created_on_at_source</t>
  </si>
  <si>
    <t>custom_fields_xml</t>
  </si>
  <si>
    <t>CustomFieldsXml</t>
  </si>
  <si>
    <t>xml</t>
  </si>
  <si>
    <t>deleted</t>
  </si>
  <si>
    <t>matter_related_party_id</t>
  </si>
  <si>
    <t>indexed_data</t>
  </si>
  <si>
    <t>IndexedData</t>
  </si>
  <si>
    <t>index_status</t>
  </si>
  <si>
    <t>IndexStatus</t>
  </si>
  <si>
    <t>modified_by_id_at_source</t>
  </si>
  <si>
    <t>ModifiedBy_Id</t>
  </si>
  <si>
    <t>modified_on_at_source</t>
  </si>
  <si>
    <t>status_id</t>
  </si>
  <si>
    <t>Status_Id</t>
  </si>
  <si>
    <t>SDGR: Remove table from the model</t>
  </si>
  <si>
    <t>IDENTITY COLUMN (1,1), Filter by MemberFirmCode IN ('NRAUS', 'NRJAK')</t>
  </si>
  <si>
    <t>member_firm_id</t>
  </si>
  <si>
    <t>MemberFirmID</t>
  </si>
  <si>
    <t>member_firm_name</t>
  </si>
  <si>
    <t>MemberFirmName</t>
  </si>
  <si>
    <t>SDGR: Should drop the entire table out of the model, but need to validate with CMI Team first</t>
  </si>
  <si>
    <t>office_member_firm_key</t>
  </si>
  <si>
    <t>IDENTITY COLUMN (1,1), No Filter Requirement</t>
  </si>
  <si>
    <t>OfficeCode</t>
  </si>
  <si>
    <t>JOIN to member_firm to obain surrogate key</t>
  </si>
  <si>
    <t>office_member_firm_id</t>
  </si>
  <si>
    <t>ID</t>
  </si>
  <si>
    <t>Convert(VARCHAR(50), OfficeMemberFirmCodeID)</t>
  </si>
  <si>
    <t>Country</t>
  </si>
  <si>
    <t>JOIN to country to obtain surrogate key</t>
  </si>
  <si>
    <t>LegalEntityCode</t>
  </si>
  <si>
    <t>JOIN to company (taxonomy) to obtain surrogate key</t>
  </si>
  <si>
    <t>SDGR: Drop this table from the model in favour of the Office Taxonomy, its only used by CMI</t>
  </si>
  <si>
    <t>org_category_code</t>
  </si>
  <si>
    <t>OrgCategoryCode</t>
  </si>
  <si>
    <t>org_category_name</t>
  </si>
  <si>
    <t>OrgCategoryName</t>
  </si>
  <si>
    <t>org_category_id</t>
  </si>
  <si>
    <t>Convert(VARCHAR(50), OrgCategoryID)</t>
  </si>
  <si>
    <t>SDGR: Drop this table in favour of the Practice Groups taxonomy. CVs and BIOs should use Practice Groups taxonomy instead of this</t>
  </si>
  <si>
    <t>person_assignment_key</t>
  </si>
  <si>
    <t>PersonId</t>
  </si>
  <si>
    <t>gmdr_sap_pa0001</t>
  </si>
  <si>
    <t>PERNR</t>
  </si>
  <si>
    <t>KOSTL</t>
  </si>
  <si>
    <t>JOIN to cost_centre to obtain surrogate key</t>
  </si>
  <si>
    <t>ZZPGP</t>
  </si>
  <si>
    <t>JOIN to practice_group (taxonomy) to obtain surrogate key</t>
  </si>
  <si>
    <t>BUKRS</t>
  </si>
  <si>
    <t>PERSG</t>
  </si>
  <si>
    <t>JOIN to employee_group (taxonomy) to obain surrogate key</t>
  </si>
  <si>
    <t>PERSK</t>
  </si>
  <si>
    <t>JOIN to employee_sub_group (taxonomy) to obtain surrogate key</t>
  </si>
  <si>
    <t>gmdr_sap_pa9007</t>
  </si>
  <si>
    <t>ZZBGRP</t>
  </si>
  <si>
    <t>JOIN to band_group (taxonomy) to obtain surrogate key</t>
  </si>
  <si>
    <t>ZZBLVL</t>
  </si>
  <si>
    <t>JOIN to band_level (taxonomy) to obtain surrogate key</t>
  </si>
  <si>
    <t>SDGR: Not needed - check with Piotr. Onl;y one person assignment at any one time.</t>
  </si>
  <si>
    <t>person_cost_centre_key</t>
  </si>
  <si>
    <t>CostCentreID</t>
  </si>
  <si>
    <t>start_date</t>
  </si>
  <si>
    <t>StartDate</t>
  </si>
  <si>
    <t>EndDate</t>
  </si>
  <si>
    <t>SDGR: Member Firm Code beeds ti be part of the Business Key</t>
  </si>
  <si>
    <t>SDGR: Check with GBIZ team is Person Cost Centre history is needed - if not then we will just collpase cost sentre Id into the Person table</t>
  </si>
  <si>
    <t>person_locale_key</t>
  </si>
  <si>
    <t>SDGR: Which Office Id? From the Office taxonomy or Office in the mds</t>
  </si>
  <si>
    <t>person_locale_id</t>
  </si>
  <si>
    <t>PersonLocaleID</t>
  </si>
  <si>
    <t>primary_locale</t>
  </si>
  <si>
    <t>PrimaryLocale</t>
  </si>
  <si>
    <t>SDGR: There can only be 1 locale if we flatten the record</t>
  </si>
  <si>
    <t>pms_office_key</t>
  </si>
  <si>
    <t>PMSOfficeID</t>
  </si>
  <si>
    <t>Why do CVs need Office Id and PMSOfficeId</t>
  </si>
  <si>
    <t>phone_key</t>
  </si>
  <si>
    <t>PhoneID</t>
  </si>
  <si>
    <t>JOIN to phone to obtain surrogate key</t>
  </si>
  <si>
    <t>SDGR: Check whether CVs really needs this</t>
  </si>
  <si>
    <t>local_secretary_person_key</t>
  </si>
  <si>
    <t>LocalSecretaryPersonID</t>
  </si>
  <si>
    <t>SDGR: This is a duplicate of the PersonRelationship table</t>
  </si>
  <si>
    <t>SDGR: A person can onlt have one locale at a time, flatten this into the Person record</t>
  </si>
  <si>
    <t>person_system_map_key</t>
  </si>
  <si>
    <t>IDENTITY COLUMN (1,1), Filter by MemberFirmCode IN ( 'NRAUS', 'NRJAK','NRFUS', 'NRLLP', 'NRCAN')</t>
  </si>
  <si>
    <t>person_system_map_id</t>
  </si>
  <si>
    <t>PersonSystemMapID</t>
  </si>
  <si>
    <t>dms_default_library</t>
  </si>
  <si>
    <t>DMSDefaultLibrary</t>
  </si>
  <si>
    <t>records_system_id</t>
  </si>
  <si>
    <t>RecordsSystemID</t>
  </si>
  <si>
    <t>financial_system_id</t>
  </si>
  <si>
    <t>FinancialSystemID</t>
  </si>
  <si>
    <t>pms_system_id</t>
  </si>
  <si>
    <t>PMSSystemID</t>
  </si>
  <si>
    <t>pms_system_code</t>
  </si>
  <si>
    <t>PMSSystemCode</t>
  </si>
  <si>
    <t>pms_system_name_id</t>
  </si>
  <si>
    <t>PMSSystemNameID</t>
  </si>
  <si>
    <t>pms_system_name_code</t>
  </si>
  <si>
    <t>PMSSystemNameCode</t>
  </si>
  <si>
    <t>original_staff_id</t>
  </si>
  <si>
    <t>OriginalStaffID</t>
  </si>
  <si>
    <t>gpms_personnel_number</t>
  </si>
  <si>
    <t>GPMSPersonnelNumber</t>
  </si>
  <si>
    <t>ISNULL(LTRIM(RTRIM(GPMSPersonnelNumber)),'')</t>
  </si>
  <si>
    <t>SDGR: How is this different from PERNR?</t>
  </si>
  <si>
    <t>gpms_external_person_id</t>
  </si>
  <si>
    <t>SDGR: This is always 1:1 with Person, flatten into Person and remove this table from the model</t>
  </si>
  <si>
    <t>IDENTITY COLUMN (1,1), Filter Active= 1 and EntityID Exists in the PersonId on the Person Table.</t>
  </si>
  <si>
    <t>phone_type_code</t>
  </si>
  <si>
    <t>PhoneTypeCode</t>
  </si>
  <si>
    <t>phone_id</t>
  </si>
  <si>
    <t>CONVERT(VARCHAR(50), PhoneID)</t>
  </si>
  <si>
    <t>phone_country_code</t>
  </si>
  <si>
    <t>PhoneCountryCode</t>
  </si>
  <si>
    <t>phone_area_code</t>
  </si>
  <si>
    <t>PhoneAreaCode</t>
  </si>
  <si>
    <t>phone_extension</t>
  </si>
  <si>
    <t>inter_firm_speed_dial</t>
  </si>
  <si>
    <t>InterFirmSpeedDial</t>
  </si>
  <si>
    <t>SDGR: Remove this table and collapse into the Person Record - SDGR to confirm with Dave Martin (Do we need mobile and office)</t>
  </si>
  <si>
    <t>party_id</t>
  </si>
  <si>
    <t>avention_id</t>
  </si>
  <si>
    <t>AventionId</t>
  </si>
  <si>
    <t>bv_d_id</t>
  </si>
  <si>
    <t>BvDId</t>
  </si>
  <si>
    <t>component_id</t>
  </si>
  <si>
    <t>Component_Id</t>
  </si>
  <si>
    <t>duns_number</t>
  </si>
  <si>
    <t>related_party_id</t>
  </si>
  <si>
    <t>include_corporate_tree</t>
  </si>
  <si>
    <t>IncludeCorporateTree</t>
  </si>
  <si>
    <t>include_in_search_strategy_validation</t>
  </si>
  <si>
    <t>IncludeInSearchStrategyValidation</t>
  </si>
  <si>
    <t>is_vendor</t>
  </si>
  <si>
    <t>IsVendor</t>
  </si>
  <si>
    <t>master_party_id</t>
  </si>
  <si>
    <t>MasterParty_Id</t>
  </si>
  <si>
    <t>party_cmi_name</t>
  </si>
  <si>
    <t>party_type_id</t>
  </si>
  <si>
    <t>PartyType_Id</t>
  </si>
  <si>
    <t>primary_external_data_provider</t>
  </si>
  <si>
    <t>PrimaryExternalDataProvider</t>
  </si>
  <si>
    <t>search_terms</t>
  </si>
  <si>
    <t>SearchTerms</t>
  </si>
  <si>
    <t>sp_global_id</t>
  </si>
  <si>
    <t>SPGlobalId</t>
  </si>
  <si>
    <t>SDGR: Remove table from the CM</t>
  </si>
  <si>
    <t>relationship_type_key</t>
  </si>
  <si>
    <t>relationship_type_id</t>
  </si>
  <si>
    <t>RelationshipTypeID</t>
  </si>
  <si>
    <t>relationship_type_name</t>
  </si>
  <si>
    <t>last_updated_date_utc</t>
  </si>
  <si>
    <t>SDGR: Reference Table for person_relationship</t>
  </si>
  <si>
    <t>SDGR: Not needed - will ask the regions to pass values of FeeEarnerToSecretary or FeeEarnerToManager into the person_relationship.relationship_description field</t>
  </si>
  <si>
    <t>team_practice_group_relationship_key</t>
  </si>
  <si>
    <t>taxonomy_team_practice_group_relationship</t>
  </si>
  <si>
    <t>JOIN to team (taxonomy) to obtain surrogate key</t>
  </si>
  <si>
    <t>pg</t>
  </si>
  <si>
    <t>SDGR: Not part of the business key</t>
  </si>
  <si>
    <t>SDGR: Can Drop as Team holds the practice group</t>
  </si>
  <si>
    <t>sub_team_key</t>
  </si>
  <si>
    <t>IDENTITY COLUMN (1,1), Filter Records by the MemberFirmCode IN ('GPMS', 'NRAUS', 'NRJAK')</t>
  </si>
  <si>
    <t>sub_team_code</t>
  </si>
  <si>
    <t>taxonomy_subteam</t>
  </si>
  <si>
    <t>SubTeamCode</t>
  </si>
  <si>
    <t>TeamCode</t>
  </si>
  <si>
    <t>JOIN to team to obtain surrogate key</t>
  </si>
  <si>
    <t>sub_team_id</t>
  </si>
  <si>
    <t>SubTeamID</t>
  </si>
  <si>
    <t>CONVERT(VARCHAR(50), SubTeamID)</t>
  </si>
  <si>
    <t>sub_team_name</t>
  </si>
  <si>
    <t>SDGR: Why is there no Sub Team taxonomy? Ask Daniel Driver</t>
  </si>
  <si>
    <t>SDGR: MDS Table last updated in 2016</t>
  </si>
  <si>
    <t>SDGR: Source system should be taxonomy BUT first lets see if we can remove from CVs</t>
  </si>
  <si>
    <t>Source updated to Taxonomy</t>
  </si>
  <si>
    <t>Active =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</si>
</sst>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1"/>
      <color theme="1"/>
      <name val="Calibri"/>
      <family val="2"/>
      <scheme val="minor"/>
    </font>
    <font>
      <b/>
      <sz val="11"/>
      <color rgb="FFFFFFFF"/>
      <name val="Calibri"/>
      <family val="2"/>
      <scheme val="minor"/>
    </font>
    <font>
      <sz val="11"/>
      <name val="Calibri"/>
      <family val="2"/>
      <scheme val="minor"/>
    </font>
    <font>
      <b/>
      <sz val="11"/>
      <name val="Calibri"/>
      <family val="2"/>
      <scheme val="minor"/>
    </font>
    <font>
      <b/>
      <u/>
      <sz val="16"/>
      <color theme="1"/>
      <name val="Calibri"/>
      <family val="2"/>
      <scheme val="minor"/>
    </font>
    <font>
      <b/>
      <sz val="11"/>
      <name val="Calibri"/>
      <family val="2"/>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sz val="11"/>
      <color rgb="FF000000"/>
      <name val="Calibri"/>
      <family val="2"/>
      <scheme val="minor"/>
    </font>
    <font>
      <b/>
      <sz val="11"/>
      <color theme="0"/>
      <name val="Calibri"/>
      <family val="2"/>
      <scheme val="minor"/>
    </font>
    <font>
      <b/>
      <sz val="11"/>
      <color rgb="FF000000"/>
      <name val="Calibri"/>
      <family val="2"/>
      <scheme val="minor"/>
    </font>
    <font>
      <sz val="11"/>
      <color rgb="FF242424"/>
      <name val="Aptos Narrow"/>
      <family val="2"/>
    </font>
    <font>
      <sz val="11"/>
      <color rgb="FF242424"/>
      <name val="Aptos Narrow"/>
      <charset val="1"/>
    </font>
    <font>
      <sz val="11"/>
      <color rgb="FF000000"/>
      <name val="Calibri"/>
      <scheme val="minor"/>
    </font>
    <font>
      <b/>
      <sz val="11"/>
      <color rgb="FF000000"/>
      <name val="Calibri"/>
      <scheme val="minor"/>
    </font>
    <font>
      <sz val="11"/>
      <color rgb="FF000000"/>
      <name val="Aptos Narrow"/>
      <family val="2"/>
    </font>
    <font>
      <sz val="11"/>
      <color theme="0"/>
      <name val="Calibri"/>
      <family val="2"/>
      <scheme val="minor"/>
    </font>
    <font>
      <sz val="11"/>
      <color rgb="FF0D0D0D"/>
      <name val="Calibri"/>
      <scheme val="minor"/>
    </font>
    <font>
      <sz val="11"/>
      <color rgb="FF000000"/>
      <name val="Calibri"/>
      <charset val="1"/>
    </font>
    <font>
      <sz val="11"/>
      <color rgb="FFFF0000"/>
      <name val="Aptos Narrow"/>
      <family val="2"/>
    </font>
    <font>
      <sz val="10"/>
      <color rgb="FFFF0000"/>
      <name val="Open Main Font"/>
      <charset val="1"/>
    </font>
    <font>
      <b/>
      <sz val="11"/>
      <color rgb="FFFFFFFF"/>
      <name val="Calibri"/>
      <charset val="1"/>
    </font>
    <font>
      <sz val="11"/>
      <color rgb="FF000000"/>
      <name val="Aptos Narrow"/>
    </font>
  </fonts>
  <fills count="23">
    <fill>
      <patternFill patternType="none"/>
    </fill>
    <fill>
      <patternFill patternType="gray125"/>
    </fill>
    <fill>
      <patternFill patternType="solid">
        <fgColor rgb="FFC6EFCE"/>
        <bgColor indexed="64"/>
      </patternFill>
    </fill>
    <fill>
      <patternFill patternType="solid">
        <fgColor rgb="FFFFEB9C"/>
        <bgColor indexed="64"/>
      </patternFill>
    </fill>
    <fill>
      <patternFill patternType="solid">
        <fgColor rgb="FF4F81BD"/>
        <bgColor indexed="64"/>
      </patternFill>
    </fill>
    <fill>
      <patternFill patternType="solid">
        <fgColor rgb="FFD3D3D3"/>
        <bgColor indexed="64"/>
      </patternFill>
    </fill>
    <fill>
      <patternFill patternType="solid">
        <fgColor rgb="FF006FBA"/>
        <bgColor indexed="64"/>
      </patternFill>
    </fill>
    <fill>
      <patternFill patternType="solid">
        <fgColor theme="8" tint="0.59999389629810485"/>
        <bgColor indexed="64"/>
      </patternFill>
    </fill>
    <fill>
      <patternFill patternType="solid">
        <fgColor rgb="FFB7DEE8"/>
        <bgColor indexed="64"/>
      </patternFill>
    </fill>
    <fill>
      <patternFill patternType="solid">
        <fgColor theme="9" tint="0.59999389629810485"/>
        <bgColor indexed="64"/>
      </patternFill>
    </fill>
    <fill>
      <patternFill patternType="solid">
        <fgColor rgb="FFFCD5B4"/>
        <bgColor indexed="64"/>
      </patternFill>
    </fill>
    <fill>
      <patternFill patternType="solid">
        <fgColor theme="9"/>
        <bgColor indexed="64"/>
      </patternFill>
    </fill>
    <fill>
      <patternFill patternType="solid">
        <fgColor rgb="FF00B0F0"/>
        <bgColor indexed="64"/>
      </patternFill>
    </fill>
    <fill>
      <patternFill patternType="solid">
        <fgColor rgb="FF92D050"/>
        <bgColor indexed="64"/>
      </patternFill>
    </fill>
    <fill>
      <patternFill patternType="solid">
        <fgColor rgb="FF7030A0"/>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theme="4"/>
        <bgColor indexed="64"/>
      </patternFill>
    </fill>
    <fill>
      <patternFill patternType="solid">
        <fgColor theme="8" tint="0.39997558519241921"/>
        <bgColor indexed="64"/>
      </patternFill>
    </fill>
    <fill>
      <patternFill patternType="solid">
        <fgColor theme="0"/>
        <bgColor indexed="64"/>
      </patternFill>
    </fill>
    <fill>
      <patternFill patternType="solid">
        <fgColor theme="9" tint="0.79998168889431442"/>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rgb="FFE4E4E4"/>
      </bottom>
      <diagonal/>
    </border>
    <border>
      <left style="thin">
        <color rgb="FF000000"/>
      </left>
      <right style="thin">
        <color rgb="FF000000"/>
      </right>
      <top style="thin">
        <color rgb="FF000000"/>
      </top>
      <bottom style="thin">
        <color rgb="FF000000"/>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7" fillId="0" borderId="0" applyNumberFormat="0" applyFill="0" applyBorder="0" applyAlignment="0" applyProtection="0"/>
  </cellStyleXfs>
  <cellXfs count="163">
    <xf numFmtId="0" fontId="0" fillId="0" borderId="0" xfId="0"/>
    <xf numFmtId="0" fontId="1" fillId="0" borderId="0" xfId="0" applyFont="1" applyAlignment="1">
      <alignment vertical="top"/>
    </xf>
    <xf numFmtId="0" fontId="0" fillId="0" borderId="0" xfId="0" applyAlignment="1">
      <alignment vertical="top" wrapText="1"/>
    </xf>
    <xf numFmtId="0" fontId="1" fillId="2" borderId="1" xfId="0" applyFont="1" applyFill="1" applyBorder="1" applyAlignment="1">
      <alignment horizontal="center" vertical="top"/>
    </xf>
    <xf numFmtId="0" fontId="1" fillId="3" borderId="1" xfId="0" applyFont="1" applyFill="1" applyBorder="1" applyAlignment="1">
      <alignment horizontal="center" vertical="top"/>
    </xf>
    <xf numFmtId="0" fontId="2" fillId="4" borderId="1" xfId="0" applyFont="1" applyFill="1" applyBorder="1"/>
    <xf numFmtId="0" fontId="0" fillId="2" borderId="1" xfId="0" applyFill="1" applyBorder="1"/>
    <xf numFmtId="0" fontId="0" fillId="0" borderId="1" xfId="0" applyBorder="1"/>
    <xf numFmtId="0" fontId="0" fillId="5" borderId="1" xfId="0" applyFill="1" applyBorder="1"/>
    <xf numFmtId="0" fontId="0" fillId="3" borderId="1" xfId="0" applyFill="1" applyBorder="1"/>
    <xf numFmtId="0" fontId="3" fillId="0" borderId="2" xfId="0" applyFont="1" applyBorder="1" applyAlignment="1">
      <alignment wrapText="1"/>
    </xf>
    <xf numFmtId="0" fontId="3" fillId="0" borderId="3" xfId="0" applyFont="1" applyBorder="1" applyAlignment="1">
      <alignment wrapText="1"/>
    </xf>
    <xf numFmtId="0" fontId="4" fillId="6" borderId="1" xfId="0" applyFont="1" applyFill="1" applyBorder="1" applyAlignment="1">
      <alignment horizontal="center" wrapText="1"/>
    </xf>
    <xf numFmtId="0" fontId="5" fillId="0" borderId="0" xfId="0" applyFont="1" applyAlignment="1">
      <alignment vertical="top"/>
    </xf>
    <xf numFmtId="0" fontId="3" fillId="0" borderId="1" xfId="0" applyFont="1" applyBorder="1" applyAlignment="1">
      <alignment vertical="center" wrapText="1"/>
    </xf>
    <xf numFmtId="0" fontId="0" fillId="0" borderId="1" xfId="0" applyBorder="1" applyAlignment="1">
      <alignment horizontal="center" vertical="center" wrapText="1"/>
    </xf>
    <xf numFmtId="0" fontId="3" fillId="0" borderId="1" xfId="0" applyFont="1" applyBorder="1" applyAlignment="1">
      <alignment horizontal="center" vertical="center" wrapText="1"/>
    </xf>
    <xf numFmtId="0" fontId="6" fillId="6" borderId="1" xfId="0" applyFont="1" applyFill="1" applyBorder="1" applyAlignment="1">
      <alignment horizontal="center" wrapText="1"/>
    </xf>
    <xf numFmtId="0" fontId="5" fillId="0" borderId="0" xfId="0" applyFont="1" applyAlignment="1">
      <alignment horizontal="left" vertical="top"/>
    </xf>
    <xf numFmtId="0" fontId="1" fillId="7" borderId="1" xfId="0" applyFont="1" applyFill="1" applyBorder="1" applyAlignment="1">
      <alignment horizontal="center" vertical="top"/>
    </xf>
    <xf numFmtId="0" fontId="0" fillId="7" borderId="1" xfId="0" applyFill="1" applyBorder="1"/>
    <xf numFmtId="0" fontId="1" fillId="0" borderId="0" xfId="0" applyFont="1"/>
    <xf numFmtId="0" fontId="0" fillId="8" borderId="1" xfId="0" applyFill="1" applyBorder="1"/>
    <xf numFmtId="0" fontId="1" fillId="9" borderId="1" xfId="0" applyFont="1" applyFill="1" applyBorder="1" applyAlignment="1">
      <alignment horizontal="center" vertical="top" wrapText="1"/>
    </xf>
    <xf numFmtId="0" fontId="0" fillId="9" borderId="1" xfId="0" applyFill="1" applyBorder="1"/>
    <xf numFmtId="0" fontId="1" fillId="0" borderId="1" xfId="0" applyFont="1" applyBorder="1" applyAlignment="1">
      <alignment horizontal="center" vertical="top"/>
    </xf>
    <xf numFmtId="0" fontId="0" fillId="8" borderId="1" xfId="0" applyFill="1" applyBorder="1" applyAlignment="1">
      <alignment wrapText="1"/>
    </xf>
    <xf numFmtId="0" fontId="0" fillId="10" borderId="1" xfId="0" applyFill="1" applyBorder="1"/>
    <xf numFmtId="0" fontId="0" fillId="10" borderId="1" xfId="0" applyFill="1" applyBorder="1" applyAlignment="1">
      <alignment wrapText="1"/>
    </xf>
    <xf numFmtId="0" fontId="7" fillId="0" borderId="1" xfId="1" applyBorder="1" applyAlignment="1">
      <alignment vertical="center" wrapText="1"/>
    </xf>
    <xf numFmtId="0" fontId="8" fillId="0" borderId="1" xfId="0" applyFont="1" applyBorder="1" applyAlignment="1">
      <alignment vertical="center" wrapText="1"/>
    </xf>
    <xf numFmtId="0" fontId="0" fillId="0" borderId="1" xfId="0" quotePrefix="1" applyBorder="1"/>
    <xf numFmtId="0" fontId="9" fillId="0" borderId="0" xfId="0" applyFont="1"/>
    <xf numFmtId="0" fontId="0" fillId="0" borderId="4" xfId="0" applyBorder="1" applyAlignment="1">
      <alignment vertical="top" wrapText="1"/>
    </xf>
    <xf numFmtId="0" fontId="0" fillId="3" borderId="1" xfId="0" quotePrefix="1" applyFill="1" applyBorder="1"/>
    <xf numFmtId="0" fontId="8" fillId="0" borderId="0" xfId="0" applyFont="1"/>
    <xf numFmtId="0" fontId="7" fillId="0" borderId="0" xfId="1"/>
    <xf numFmtId="0" fontId="10" fillId="0" borderId="1" xfId="0" applyFont="1" applyBorder="1"/>
    <xf numFmtId="0" fontId="0" fillId="3" borderId="0" xfId="0" applyFill="1"/>
    <xf numFmtId="0" fontId="0" fillId="8" borderId="0" xfId="0" applyFill="1"/>
    <xf numFmtId="0" fontId="0" fillId="5" borderId="0" xfId="0" applyFill="1"/>
    <xf numFmtId="0" fontId="3" fillId="0" borderId="0" xfId="0" applyFont="1" applyAlignment="1">
      <alignment vertical="center"/>
    </xf>
    <xf numFmtId="0" fontId="7" fillId="0" borderId="2" xfId="1" applyBorder="1" applyAlignment="1">
      <alignment wrapText="1"/>
    </xf>
    <xf numFmtId="0" fontId="7" fillId="0" borderId="3" xfId="1" applyBorder="1" applyAlignment="1">
      <alignment wrapText="1"/>
    </xf>
    <xf numFmtId="0" fontId="0" fillId="0" borderId="0" xfId="0" applyAlignment="1">
      <alignment horizontal="center"/>
    </xf>
    <xf numFmtId="0" fontId="1" fillId="9" borderId="5" xfId="0" applyFont="1" applyFill="1" applyBorder="1" applyAlignment="1">
      <alignment horizontal="center" vertical="top" wrapText="1"/>
    </xf>
    <xf numFmtId="0" fontId="0" fillId="0" borderId="1" xfId="0" applyBorder="1" applyAlignment="1">
      <alignment horizontal="center"/>
    </xf>
    <xf numFmtId="0" fontId="4" fillId="11" borderId="1" xfId="0" applyFont="1" applyFill="1" applyBorder="1"/>
    <xf numFmtId="0" fontId="4" fillId="11" borderId="1" xfId="0" applyFont="1" applyFill="1" applyBorder="1" applyAlignment="1">
      <alignment horizontal="center"/>
    </xf>
    <xf numFmtId="0" fontId="0" fillId="0" borderId="1" xfId="0" applyBorder="1" applyAlignment="1">
      <alignment vertical="top"/>
    </xf>
    <xf numFmtId="0" fontId="0" fillId="0" borderId="1" xfId="0" applyBorder="1" applyAlignment="1">
      <alignment wrapText="1"/>
    </xf>
    <xf numFmtId="0" fontId="0" fillId="0" borderId="1" xfId="0" applyBorder="1" applyAlignment="1">
      <alignment horizontal="left"/>
    </xf>
    <xf numFmtId="0" fontId="4" fillId="0" borderId="0" xfId="0" applyFont="1" applyAlignment="1">
      <alignment vertical="center" wrapText="1"/>
    </xf>
    <xf numFmtId="0" fontId="12" fillId="14" borderId="0" xfId="0" applyFont="1" applyFill="1" applyAlignment="1">
      <alignment horizontal="center" vertical="center"/>
    </xf>
    <xf numFmtId="0" fontId="4" fillId="12" borderId="0" xfId="0" applyFont="1" applyFill="1" applyAlignment="1">
      <alignment horizontal="center" vertical="center"/>
    </xf>
    <xf numFmtId="0" fontId="4" fillId="13" borderId="0" xfId="0" applyFont="1" applyFill="1" applyAlignment="1">
      <alignment horizontal="center" vertical="center"/>
    </xf>
    <xf numFmtId="0" fontId="4" fillId="15" borderId="0" xfId="0" applyFont="1" applyFill="1" applyAlignment="1">
      <alignment horizontal="center" vertical="center"/>
    </xf>
    <xf numFmtId="0" fontId="12" fillId="16" borderId="0" xfId="0" applyFont="1" applyFill="1" applyAlignment="1">
      <alignment horizontal="center" vertical="center"/>
    </xf>
    <xf numFmtId="0" fontId="3" fillId="16" borderId="2" xfId="0" applyFont="1" applyFill="1" applyBorder="1" applyAlignment="1">
      <alignment wrapText="1"/>
    </xf>
    <xf numFmtId="0" fontId="3" fillId="0" borderId="2" xfId="0" applyFont="1" applyBorder="1" applyAlignment="1">
      <alignment horizontal="center" wrapText="1"/>
    </xf>
    <xf numFmtId="0" fontId="7" fillId="16" borderId="2" xfId="1" applyFill="1" applyBorder="1" applyAlignment="1">
      <alignment wrapText="1"/>
    </xf>
    <xf numFmtId="0" fontId="3" fillId="16" borderId="2" xfId="0" applyFont="1" applyFill="1" applyBorder="1" applyAlignment="1">
      <alignment horizontal="center" wrapText="1"/>
    </xf>
    <xf numFmtId="0" fontId="7" fillId="16" borderId="3" xfId="1" applyFill="1" applyBorder="1" applyAlignment="1">
      <alignment wrapText="1"/>
    </xf>
    <xf numFmtId="0" fontId="3" fillId="0" borderId="3" xfId="0" quotePrefix="1" applyFont="1" applyBorder="1" applyAlignment="1">
      <alignment wrapText="1"/>
    </xf>
    <xf numFmtId="0" fontId="3" fillId="0" borderId="2" xfId="0" quotePrefix="1" applyFont="1" applyBorder="1" applyAlignment="1">
      <alignment wrapText="1"/>
    </xf>
    <xf numFmtId="0" fontId="3" fillId="16" borderId="2" xfId="0" quotePrefix="1" applyFont="1" applyFill="1" applyBorder="1" applyAlignment="1">
      <alignment wrapText="1"/>
    </xf>
    <xf numFmtId="0" fontId="0" fillId="0" borderId="0" xfId="0" pivotButton="1"/>
    <xf numFmtId="0" fontId="11" fillId="0" borderId="0" xfId="0" applyFont="1"/>
    <xf numFmtId="14" fontId="0" fillId="0" borderId="1" xfId="0" quotePrefix="1" applyNumberFormat="1" applyBorder="1"/>
    <xf numFmtId="0" fontId="0" fillId="8" borderId="1" xfId="0" quotePrefix="1" applyFill="1" applyBorder="1"/>
    <xf numFmtId="0" fontId="0" fillId="3" borderId="1" xfId="0" applyFill="1" applyBorder="1" applyAlignment="1">
      <alignment wrapText="1"/>
    </xf>
    <xf numFmtId="0" fontId="1" fillId="0" borderId="1" xfId="0" applyFont="1" applyBorder="1"/>
    <xf numFmtId="0" fontId="1" fillId="0" borderId="1" xfId="0" applyFont="1" applyBorder="1" applyAlignment="1">
      <alignment wrapText="1"/>
    </xf>
    <xf numFmtId="0" fontId="4" fillId="17" borderId="0" xfId="0" applyFont="1" applyFill="1" applyAlignment="1">
      <alignment horizontal="center" vertical="center"/>
    </xf>
    <xf numFmtId="0" fontId="0" fillId="0" borderId="5" xfId="0" applyBorder="1"/>
    <xf numFmtId="0" fontId="13" fillId="0" borderId="0" xfId="0" applyFont="1"/>
    <xf numFmtId="0" fontId="0" fillId="0" borderId="0" xfId="0" applyAlignment="1">
      <alignment vertical="top"/>
    </xf>
    <xf numFmtId="0" fontId="0" fillId="0" borderId="0" xfId="0" applyAlignment="1">
      <alignment horizontal="center" vertical="top"/>
    </xf>
    <xf numFmtId="0" fontId="4" fillId="11" borderId="6" xfId="0" applyFont="1" applyFill="1" applyBorder="1" applyAlignment="1">
      <alignment horizontal="center"/>
    </xf>
    <xf numFmtId="0" fontId="0" fillId="0" borderId="0" xfId="0" applyAlignment="1" applyProtection="1">
      <alignment vertical="top"/>
      <protection locked="0"/>
    </xf>
    <xf numFmtId="0" fontId="14" fillId="0" borderId="0" xfId="0" applyFont="1"/>
    <xf numFmtId="0" fontId="0" fillId="0" borderId="1" xfId="0" applyBorder="1" applyAlignment="1">
      <alignment horizontal="left" wrapText="1"/>
    </xf>
    <xf numFmtId="0" fontId="10" fillId="0" borderId="1" xfId="0" applyFont="1" applyBorder="1" applyAlignment="1">
      <alignment wrapText="1"/>
    </xf>
    <xf numFmtId="0" fontId="8" fillId="0" borderId="1" xfId="0" applyFont="1" applyBorder="1"/>
    <xf numFmtId="0" fontId="8" fillId="8" borderId="1" xfId="0" applyFont="1" applyFill="1" applyBorder="1"/>
    <xf numFmtId="0" fontId="8" fillId="8" borderId="1" xfId="0" applyFont="1" applyFill="1" applyBorder="1" applyAlignment="1">
      <alignment wrapText="1"/>
    </xf>
    <xf numFmtId="0" fontId="9" fillId="3" borderId="1" xfId="0" applyFont="1" applyFill="1" applyBorder="1"/>
    <xf numFmtId="0" fontId="8" fillId="0" borderId="1" xfId="0" applyFont="1" applyBorder="1" applyAlignment="1">
      <alignment wrapText="1"/>
    </xf>
    <xf numFmtId="0" fontId="10" fillId="0" borderId="0" xfId="0" applyFont="1"/>
    <xf numFmtId="0" fontId="15" fillId="0" borderId="0" xfId="0" applyFont="1"/>
    <xf numFmtId="0" fontId="8" fillId="0" borderId="0" xfId="0" applyFont="1" applyAlignment="1">
      <alignment wrapText="1"/>
    </xf>
    <xf numFmtId="0" fontId="10" fillId="0" borderId="1" xfId="0" applyFont="1" applyBorder="1" applyAlignment="1">
      <alignment horizontal="center"/>
    </xf>
    <xf numFmtId="0" fontId="3" fillId="16" borderId="3" xfId="0" applyFont="1" applyFill="1" applyBorder="1" applyAlignment="1">
      <alignment wrapText="1"/>
    </xf>
    <xf numFmtId="0" fontId="3" fillId="16" borderId="3" xfId="0" quotePrefix="1" applyFont="1" applyFill="1" applyBorder="1" applyAlignment="1">
      <alignment wrapText="1"/>
    </xf>
    <xf numFmtId="0" fontId="10" fillId="0" borderId="0" xfId="0" applyFont="1" applyAlignment="1">
      <alignment vertical="top"/>
    </xf>
    <xf numFmtId="0" fontId="8" fillId="3" borderId="1" xfId="0" applyFont="1" applyFill="1" applyBorder="1"/>
    <xf numFmtId="0" fontId="3" fillId="0" borderId="0" xfId="0" applyFont="1" applyAlignment="1">
      <alignment vertical="top"/>
    </xf>
    <xf numFmtId="0" fontId="0" fillId="0" borderId="0" xfId="0" applyAlignment="1">
      <alignment vertical="center"/>
    </xf>
    <xf numFmtId="14" fontId="0" fillId="3" borderId="1" xfId="0" quotePrefix="1" applyNumberFormat="1" applyFill="1" applyBorder="1"/>
    <xf numFmtId="0" fontId="8" fillId="10" borderId="1" xfId="0" applyFont="1" applyFill="1" applyBorder="1"/>
    <xf numFmtId="0" fontId="8" fillId="0" borderId="1" xfId="0" applyFont="1" applyBorder="1" applyAlignment="1">
      <alignment horizontal="center"/>
    </xf>
    <xf numFmtId="0" fontId="8" fillId="0" borderId="0" xfId="0" applyFont="1" applyAlignment="1">
      <alignment vertical="top"/>
    </xf>
    <xf numFmtId="0" fontId="18" fillId="0" borderId="0" xfId="0" applyFont="1"/>
    <xf numFmtId="0" fontId="18" fillId="0" borderId="0" xfId="0" applyFont="1" applyAlignment="1">
      <alignment wrapText="1"/>
    </xf>
    <xf numFmtId="0" fontId="3" fillId="13" borderId="1" xfId="0" applyFont="1" applyFill="1" applyBorder="1" applyAlignment="1">
      <alignment vertical="center" wrapText="1"/>
    </xf>
    <xf numFmtId="0" fontId="19" fillId="14" borderId="1" xfId="0" applyFont="1" applyFill="1" applyBorder="1" applyAlignment="1">
      <alignment vertical="center" wrapText="1"/>
    </xf>
    <xf numFmtId="0" fontId="3" fillId="17" borderId="1" xfId="0" applyFont="1" applyFill="1" applyBorder="1" applyAlignment="1">
      <alignment vertical="center" wrapText="1"/>
    </xf>
    <xf numFmtId="0" fontId="19" fillId="12" borderId="1" xfId="0" applyFont="1" applyFill="1" applyBorder="1" applyAlignment="1">
      <alignment vertical="center" wrapText="1"/>
    </xf>
    <xf numFmtId="0" fontId="7" fillId="0" borderId="0" xfId="1" applyBorder="1" applyAlignment="1">
      <alignment wrapText="1"/>
    </xf>
    <xf numFmtId="0" fontId="3" fillId="0" borderId="0" xfId="0" applyFont="1" applyAlignment="1">
      <alignment wrapText="1"/>
    </xf>
    <xf numFmtId="0" fontId="3" fillId="0" borderId="0" xfId="0" applyFont="1" applyAlignment="1">
      <alignment horizontal="center" wrapText="1"/>
    </xf>
    <xf numFmtId="0" fontId="3" fillId="0" borderId="0" xfId="0" quotePrefix="1" applyFont="1" applyAlignment="1">
      <alignment wrapText="1"/>
    </xf>
    <xf numFmtId="0" fontId="7" fillId="0" borderId="3" xfId="1" applyFill="1" applyBorder="1" applyAlignment="1">
      <alignment wrapText="1"/>
    </xf>
    <xf numFmtId="0" fontId="0" fillId="7" borderId="0" xfId="0" applyFill="1"/>
    <xf numFmtId="0" fontId="0" fillId="17" borderId="0" xfId="0" applyFill="1"/>
    <xf numFmtId="0" fontId="20" fillId="0" borderId="0" xfId="0" applyFont="1" applyAlignment="1">
      <alignment wrapText="1"/>
    </xf>
    <xf numFmtId="0" fontId="8" fillId="10" borderId="1" xfId="0" applyFont="1" applyFill="1" applyBorder="1" applyAlignment="1">
      <alignment wrapText="1"/>
    </xf>
    <xf numFmtId="0" fontId="0" fillId="0" borderId="0" xfId="0" applyAlignment="1">
      <alignment wrapText="1"/>
    </xf>
    <xf numFmtId="0" fontId="10" fillId="8" borderId="1" xfId="0" applyFont="1" applyFill="1" applyBorder="1"/>
    <xf numFmtId="0" fontId="0" fillId="0" borderId="1" xfId="0" applyBorder="1" applyAlignment="1">
      <alignment vertical="top" wrapText="1"/>
    </xf>
    <xf numFmtId="0" fontId="21" fillId="0" borderId="0" xfId="0" applyFont="1"/>
    <xf numFmtId="0" fontId="22" fillId="0" borderId="0" xfId="0" applyFont="1"/>
    <xf numFmtId="0" fontId="3" fillId="0" borderId="1" xfId="0" applyFont="1" applyBorder="1"/>
    <xf numFmtId="0" fontId="23" fillId="18" borderId="7" xfId="0" applyFont="1" applyFill="1" applyBorder="1" applyAlignment="1">
      <alignment wrapText="1"/>
    </xf>
    <xf numFmtId="0" fontId="10" fillId="18" borderId="0" xfId="0" applyFont="1" applyFill="1"/>
    <xf numFmtId="0" fontId="23" fillId="18" borderId="0" xfId="0" applyFont="1" applyFill="1" applyAlignment="1">
      <alignment wrapText="1"/>
    </xf>
    <xf numFmtId="0" fontId="24" fillId="19" borderId="0" xfId="0" applyFont="1" applyFill="1"/>
    <xf numFmtId="0" fontId="0" fillId="20" borderId="1" xfId="0" applyFill="1" applyBorder="1"/>
    <xf numFmtId="0" fontId="0" fillId="2" borderId="8" xfId="0" applyFill="1" applyBorder="1"/>
    <xf numFmtId="0" fontId="0" fillId="0" borderId="8" xfId="0" applyBorder="1"/>
    <xf numFmtId="0" fontId="0" fillId="8" borderId="8" xfId="0" applyFill="1" applyBorder="1"/>
    <xf numFmtId="0" fontId="0" fillId="2" borderId="9" xfId="0" applyFill="1" applyBorder="1"/>
    <xf numFmtId="0" fontId="0" fillId="3" borderId="9" xfId="0" applyFill="1" applyBorder="1"/>
    <xf numFmtId="0" fontId="0" fillId="0" borderId="9" xfId="0" applyBorder="1"/>
    <xf numFmtId="0" fontId="8" fillId="0" borderId="9" xfId="0" applyFont="1" applyBorder="1"/>
    <xf numFmtId="0" fontId="8" fillId="8" borderId="9" xfId="0" applyFont="1" applyFill="1" applyBorder="1"/>
    <xf numFmtId="0" fontId="0" fillId="8" borderId="9" xfId="0" applyFill="1" applyBorder="1"/>
    <xf numFmtId="0" fontId="0" fillId="2" borderId="10" xfId="0" applyFill="1" applyBorder="1"/>
    <xf numFmtId="0" fontId="0" fillId="3" borderId="10" xfId="0" applyFill="1" applyBorder="1"/>
    <xf numFmtId="0" fontId="0" fillId="0" borderId="10" xfId="0" applyBorder="1"/>
    <xf numFmtId="0" fontId="8" fillId="0" borderId="10" xfId="0" applyFont="1" applyBorder="1"/>
    <xf numFmtId="0" fontId="8" fillId="8" borderId="10" xfId="0" applyFont="1" applyFill="1" applyBorder="1"/>
    <xf numFmtId="0" fontId="0" fillId="8" borderId="10" xfId="0" applyFill="1" applyBorder="1"/>
    <xf numFmtId="0" fontId="2" fillId="4" borderId="5" xfId="0" applyFont="1" applyFill="1" applyBorder="1"/>
    <xf numFmtId="0" fontId="0" fillId="5" borderId="11" xfId="0" applyFill="1" applyBorder="1"/>
    <xf numFmtId="0" fontId="0" fillId="3" borderId="8" xfId="0" applyFill="1" applyBorder="1"/>
    <xf numFmtId="0" fontId="0" fillId="21" borderId="8" xfId="0" applyFill="1" applyBorder="1"/>
    <xf numFmtId="0" fontId="0" fillId="10" borderId="9" xfId="0" applyFill="1" applyBorder="1"/>
    <xf numFmtId="0" fontId="0" fillId="10" borderId="10" xfId="0" applyFill="1" applyBorder="1"/>
    <xf numFmtId="0" fontId="0" fillId="10" borderId="8" xfId="0" applyFill="1" applyBorder="1"/>
    <xf numFmtId="0" fontId="0" fillId="22" borderId="1" xfId="0" applyFill="1" applyBorder="1"/>
    <xf numFmtId="0" fontId="8" fillId="22" borderId="1" xfId="0" applyFont="1" applyFill="1" applyBorder="1"/>
    <xf numFmtId="0" fontId="0" fillId="22" borderId="1" xfId="0" applyFill="1" applyBorder="1" applyAlignment="1">
      <alignment horizontal="center"/>
    </xf>
    <xf numFmtId="0" fontId="0" fillId="22" borderId="0" xfId="0" applyFill="1" applyAlignment="1">
      <alignment vertical="top"/>
    </xf>
    <xf numFmtId="0" fontId="0" fillId="22" borderId="0" xfId="0" applyFill="1"/>
    <xf numFmtId="0" fontId="23" fillId="22" borderId="7" xfId="0" applyFont="1" applyFill="1" applyBorder="1" applyAlignment="1">
      <alignment wrapText="1"/>
    </xf>
    <xf numFmtId="0" fontId="0" fillId="22" borderId="0" xfId="0" applyFill="1" applyAlignment="1">
      <alignment wrapText="1"/>
    </xf>
    <xf numFmtId="0" fontId="10" fillId="22" borderId="1" xfId="0" applyFont="1" applyFill="1" applyBorder="1"/>
    <xf numFmtId="0" fontId="10" fillId="22" borderId="0" xfId="0" applyFont="1" applyFill="1"/>
    <xf numFmtId="0" fontId="0" fillId="22" borderId="1" xfId="0" applyFill="1" applyBorder="1" applyAlignment="1">
      <alignment wrapText="1"/>
    </xf>
    <xf numFmtId="0" fontId="21" fillId="22" borderId="0" xfId="0" applyFont="1" applyFill="1"/>
    <xf numFmtId="0" fontId="25" fillId="0" borderId="0" xfId="0" applyFont="1" applyAlignment="1">
      <alignment wrapText="1"/>
    </xf>
    <xf numFmtId="0" fontId="3" fillId="0" borderId="9" xfId="0" applyFont="1" applyBorder="1"/>
  </cellXfs>
  <cellStyles count="2">
    <cellStyle name="Hyperlink" xfId="1" builtinId="8"/>
    <cellStyle name="Normal" xfId="0" builtinId="0"/>
  </cellStyles>
  <dxfs count="271">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ill>
        <patternFill>
          <bgColor rgb="FFC6EFCE"/>
        </patternFill>
      </fill>
    </dxf>
    <dxf>
      <fill>
        <patternFill>
          <bgColor rgb="FFFFEB9C"/>
        </patternFill>
      </fill>
    </dxf>
    <dxf>
      <fill>
        <patternFill>
          <bgColor rgb="FFB7DEE8"/>
        </patternFill>
      </fill>
    </dxf>
    <dxf>
      <fill>
        <patternFill>
          <bgColor rgb="FFFFB7B7"/>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B7DEE8"/>
      <color rgb="FFFCD5B4"/>
      <color rgb="FFFFEB9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tyles" Target="styles.xml"/><Relationship Id="rId89" Type="http://schemas.openxmlformats.org/officeDocument/2006/relationships/customXml" Target="../customXml/item2.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ustomXml" Target="../customXml/item3.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openxmlformats.org/officeDocument/2006/relationships/customXml" Target="../customXml/item1.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pivotCacheDefinition" Target="pivotCache/pivotCacheDefinition1.xml"/><Relationship Id="rId19" Type="http://schemas.openxmlformats.org/officeDocument/2006/relationships/worksheet" Target="worksheets/sheet1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600075</xdr:colOff>
      <xdr:row>24</xdr:row>
      <xdr:rowOff>171450</xdr:rowOff>
    </xdr:to>
    <xdr:pic>
      <xdr:nvPicPr>
        <xdr:cNvPr id="2" name="Picture 1">
          <a:extLst>
            <a:ext uri="{FF2B5EF4-FFF2-40B4-BE49-F238E27FC236}">
              <a16:creationId xmlns:a16="http://schemas.microsoft.com/office/drawing/2014/main" id="{A0C60584-E09B-FEA0-EF68-DE9652EB5F08}"/>
            </a:ext>
          </a:extLst>
        </xdr:cNvPr>
        <xdr:cNvPicPr>
          <a:picLocks noChangeAspect="1"/>
        </xdr:cNvPicPr>
      </xdr:nvPicPr>
      <xdr:blipFill>
        <a:blip xmlns:r="http://schemas.openxmlformats.org/officeDocument/2006/relationships" r:embed="rId1"/>
        <a:stretch>
          <a:fillRect/>
        </a:stretch>
      </xdr:blipFill>
      <xdr:spPr>
        <a:xfrm>
          <a:off x="0" y="0"/>
          <a:ext cx="11572875" cy="47434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0</xdr:colOff>
      <xdr:row>26</xdr:row>
      <xdr:rowOff>161925</xdr:rowOff>
    </xdr:to>
    <xdr:pic>
      <xdr:nvPicPr>
        <xdr:cNvPr id="3" name="Picture 2">
          <a:extLst>
            <a:ext uri="{FF2B5EF4-FFF2-40B4-BE49-F238E27FC236}">
              <a16:creationId xmlns:a16="http://schemas.microsoft.com/office/drawing/2014/main" id="{3811AE7A-17B2-CAF8-A797-CF3F7D271247}"/>
            </a:ext>
          </a:extLst>
        </xdr:cNvPr>
        <xdr:cNvPicPr>
          <a:picLocks noChangeAspect="1"/>
        </xdr:cNvPicPr>
      </xdr:nvPicPr>
      <xdr:blipFill>
        <a:blip xmlns:r="http://schemas.openxmlformats.org/officeDocument/2006/relationships" r:embed="rId1"/>
        <a:stretch>
          <a:fillRect/>
        </a:stretch>
      </xdr:blipFill>
      <xdr:spPr>
        <a:xfrm>
          <a:off x="0" y="0"/>
          <a:ext cx="11582400" cy="51149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600075</xdr:colOff>
      <xdr:row>33</xdr:row>
      <xdr:rowOff>171450</xdr:rowOff>
    </xdr:to>
    <xdr:pic>
      <xdr:nvPicPr>
        <xdr:cNvPr id="3" name="Picture 2">
          <a:extLst>
            <a:ext uri="{FF2B5EF4-FFF2-40B4-BE49-F238E27FC236}">
              <a16:creationId xmlns:a16="http://schemas.microsoft.com/office/drawing/2014/main" id="{E803E484-9127-EC48-6571-269AE0E3B7AF}"/>
            </a:ext>
          </a:extLst>
        </xdr:cNvPr>
        <xdr:cNvPicPr>
          <a:picLocks noChangeAspect="1"/>
        </xdr:cNvPicPr>
      </xdr:nvPicPr>
      <xdr:blipFill>
        <a:blip xmlns:r="http://schemas.openxmlformats.org/officeDocument/2006/relationships" r:embed="rId1"/>
        <a:stretch>
          <a:fillRect/>
        </a:stretch>
      </xdr:blipFill>
      <xdr:spPr>
        <a:xfrm>
          <a:off x="0" y="0"/>
          <a:ext cx="11572875" cy="6457950"/>
        </a:xfrm>
        <a:prstGeom prst="rect">
          <a:avLst/>
        </a:prstGeom>
      </xdr:spPr>
    </xdr:pic>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9953DD91-0F11-42B0-ACF6-82631A4E01F4}"/>
</namedSheetViews>
</file>

<file path=xl/persons/person.xml><?xml version="1.0" encoding="utf-8"?>
<personList xmlns="http://schemas.microsoft.com/office/spreadsheetml/2018/threadedcomments" xmlns:x="http://schemas.openxmlformats.org/spreadsheetml/2006/main">
  <person displayName="Admin, Dan Fitton" id="{09C39A34-98CC-47DB-A09C-584C264EDFA7}" userId="S::ad.dfitton@nortonrosefulbright.com::6757da10-d945-4d77-815c-8fe025015893" providerId="AD"/>
  <person displayName="Simon Griffiths" id="{23717993-1A28-4D6F-A610-A06E860307F7}" userId="S::Simon.Griffiths@nortonrosefulbright.com::881f3cb9-cc6e-441e-b65b-a8d7618a5d79" providerId="AD"/>
  <person displayName="Daniel Fitton" id="{01047818-E74D-476D-8F84-D0841081A526}" userId="S::daniel.fitton_telefonicatech.uk#ext#@nrfonline.onmicrosoft.com::a720b232-1ab7-4c38-a983-0b4e0f8820ff"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28.680642129628" createdVersion="8" refreshedVersion="8" minRefreshableVersion="3" recordCount="61" xr:uid="{37C25325-4E6B-4D8A-9C89-E79343454C71}">
  <cacheSource type="worksheet">
    <worksheetSource ref="A3:L64" sheet="Entity Mapping"/>
  </cacheSource>
  <cacheFields count="13">
    <cacheField name="Target Entity" numFmtId="0">
      <sharedItems/>
    </cacheField>
    <cacheField name="Data Product" numFmtId="0">
      <sharedItems containsBlank="1" count="5">
        <s v="canonical_data_model"/>
        <s v="taxonomy_data_model"/>
        <s v="transactional_data_model"/>
        <s v="exchange_rate_data_model"/>
        <m/>
      </sharedItems>
    </cacheField>
    <cacheField name="Type" numFmtId="0">
      <sharedItems/>
    </cacheField>
    <cacheField name="Source System" numFmtId="0">
      <sharedItems/>
    </cacheField>
    <cacheField name="Source Entity" numFmtId="0">
      <sharedItems/>
    </cacheField>
    <cacheField name="Status" numFmtId="0">
      <sharedItems/>
    </cacheField>
    <cacheField name="Relationships" numFmtId="0">
      <sharedItems containsBlank="1"/>
    </cacheField>
    <cacheField name="Built in Phase 1" numFmtId="0">
      <sharedItems containsBlank="1"/>
    </cacheField>
    <cacheField name="Notes" numFmtId="0">
      <sharedItems containsBlank="1"/>
    </cacheField>
    <cacheField name="STTM Required changes" numFmtId="0">
      <sharedItems containsBlank="1"/>
    </cacheField>
    <cacheField name="STTM Updates Estimate (hours)" numFmtId="0">
      <sharedItems containsSemiMixedTypes="0" containsString="0" containsNumber="1" minValue="0" maxValue="1"/>
    </cacheField>
    <cacheField name="Build Estimate (days)" numFmtId="0">
      <sharedItems containsSemiMixedTypes="0" containsString="0" containsNumber="1" minValue="0" maxValue="1.5"/>
    </cacheField>
    <cacheField name="Status 2" numFmtId="0">
      <sharedItems containsBlank="1" count="5">
        <s v="U"/>
        <s v="D"/>
        <s v="N"/>
        <s v="X"/>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address"/>
    <x v="0"/>
    <s v="dimension"/>
    <s v="mds"/>
    <s v="mds_address"/>
    <s v="Review NRF Feedback"/>
    <s v="client_x000a_address_type_x000a_country"/>
    <s v="Y"/>
    <m/>
    <s v="- remove join to address_type and country_x000a_- remove columns_x000a_- relabel column"/>
    <n v="0.25"/>
    <n v="0.25"/>
    <x v="0"/>
  </r>
  <r>
    <s v="address_type"/>
    <x v="0"/>
    <s v="dimension"/>
    <s v="mds"/>
    <s v="mds_addresstype"/>
    <s v="Review NRF Feedback"/>
    <m/>
    <s v="Y"/>
    <s v="What is the impact on integrations of removing?"/>
    <s v="- Drop from model"/>
    <n v="0.01"/>
    <n v="0.125"/>
    <x v="1"/>
  </r>
  <r>
    <s v="band_group"/>
    <x v="1"/>
    <s v="dimension"/>
    <s v="taxonomy"/>
    <s v="taxonomy_band_groups"/>
    <s v="Ready for 2nd review"/>
    <m/>
    <m/>
    <m/>
    <s v="- remove last_updated_date_x000a_- remove join to language"/>
    <n v="0.1"/>
    <n v="0.5"/>
    <x v="2"/>
  </r>
  <r>
    <s v="band_level"/>
    <x v="1"/>
    <s v="dimension"/>
    <s v="taxonomy"/>
    <s v="taxonomy_band_levels"/>
    <s v="Ready for 2nd review"/>
    <s v="band_group (taxonomy)"/>
    <m/>
    <m/>
    <s v="- remove last_updated_date_x000a_- remove join to language"/>
    <n v="0.1"/>
    <n v="0.5"/>
    <x v="2"/>
  </r>
  <r>
    <s v="chronometrics"/>
    <x v="2"/>
    <s v="dimension"/>
    <s v="Internal Excel Upload"/>
    <s v="ChronoMetrics Sample"/>
    <s v="Review NRF Feedback"/>
    <s v="client_x000a_matter_x000a_company (taxonomy)_x000a_currency (taxonomy)_x000a_office (taxonomy)_x000a_practice_group (taxonomy)_x000a_team (taxonomy)_x000a_employee_group (taxonomy)_x000a_employee_sub_group (taxonomy)_x000a_band_group (taxonomy)_x000a_band_level (taxonomy)"/>
    <m/>
    <m/>
    <s v="- update columns to use consistent naming convention_x000a_- update business keys_x000a_- foreign key to person"/>
    <n v="0.2"/>
    <n v="0.5"/>
    <x v="2"/>
  </r>
  <r>
    <s v="client"/>
    <x v="0"/>
    <s v="dimension"/>
    <s v="mds_x000a_gmdr_x000a_cmidb"/>
    <s v="mds_client_x000a_gmdr_sap_kna1_x000a_cmidb_clients"/>
    <s v="Review NRF Feedback"/>
    <s v="member_firm_x000a_office (taxonomy)_x000a_person_x000a_client_status_x000a_client_x000a_team (taxonomy)_x000a_practice_group (taxonomy)"/>
    <s v="Y"/>
    <m/>
    <s v="- remove columns_x000a_- relabel columns_x000a_- update join from person to partner"/>
    <n v="0.25"/>
    <n v="1"/>
    <x v="0"/>
  </r>
  <r>
    <s v="client_financials"/>
    <x v="2"/>
    <s v="dimension"/>
    <s v="Internal Excel Upload"/>
    <s v="_NRF_ClientFinancials"/>
    <s v="Review NRF Feedback"/>
    <s v="client_x000a_currency (taxonomy)"/>
    <m/>
    <m/>
    <s v="- update columns to use consistent naming convention_x000a_- update business keys"/>
    <n v="0.1"/>
    <n v="0.5"/>
    <x v="2"/>
  </r>
  <r>
    <s v="client_sector"/>
    <x v="1"/>
    <s v="dimension"/>
    <s v="taxonomy"/>
    <s v="taxonomy_client_sector_ibg_sic"/>
    <s v="Ready for 2nd review"/>
    <m/>
    <s v="Y"/>
    <m/>
    <s v="- change table name _x000a_- update columns names_x000a_- update business keys_x000a_- remove last_updated_date_x000a_- remove join to language"/>
    <n v="0.2"/>
    <n v="0.5"/>
    <x v="0"/>
  </r>
  <r>
    <s v="client_matter_billing"/>
    <x v="0"/>
    <s v="dimension"/>
    <s v="mds"/>
    <s v="mds_clientmatterbillings"/>
    <s v="Review NRF Feedback"/>
    <s v="client_x000a_matter_x000a_currency (taxonomy)"/>
    <m/>
    <m/>
    <s v="- Drop from model"/>
    <n v="0.01"/>
    <n v="0"/>
    <x v="1"/>
  </r>
  <r>
    <s v="client_matter_sic_relationship"/>
    <x v="1"/>
    <s v="dimension"/>
    <s v="taxonomy"/>
    <s v="taxonomy_client_sic_to_matter_sic"/>
    <s v="Ready for 2nd review"/>
    <s v="client_sector (taxonomy)_x000a_matter_sector (taxonomy)"/>
    <m/>
    <m/>
    <s v="- remove last_updated_date"/>
    <n v="0.02"/>
    <n v="0.5"/>
    <x v="1"/>
  </r>
  <r>
    <s v="client_member_firm"/>
    <x v="0"/>
    <s v="dimension"/>
    <s v="mds"/>
    <s v="mds_clientmemberfirm"/>
    <s v="Review NRF Feedback"/>
    <s v="client_x000a_member_firm_x000a_company (taxonomy)"/>
    <m/>
    <m/>
    <s v="- Drop from model"/>
    <n v="0.01"/>
    <n v="0"/>
    <x v="1"/>
  </r>
  <r>
    <s v="client_relationship"/>
    <x v="0"/>
    <s v="dimension"/>
    <s v="mds"/>
    <s v="mds_client"/>
    <s v="Review NRF Feedback"/>
    <s v="client"/>
    <s v="Y"/>
    <s v="Check if still required"/>
    <m/>
    <n v="0"/>
    <n v="0"/>
    <x v="3"/>
  </r>
  <r>
    <s v="client_status"/>
    <x v="0"/>
    <s v="dimension"/>
    <s v="mds"/>
    <s v="mds_clientstatus"/>
    <s v="Review NRF Feedback"/>
    <s v="member_firm"/>
    <s v="Y"/>
    <m/>
    <s v="- Drop from model"/>
    <n v="0.01"/>
    <n v="0.125"/>
    <x v="1"/>
  </r>
  <r>
    <s v="company"/>
    <x v="1"/>
    <s v="dimension"/>
    <s v="taxonomy"/>
    <s v="taxonomy_legal_entities_company_codes"/>
    <s v="Ready for 2nd review"/>
    <m/>
    <m/>
    <m/>
    <s v="- remove last_updated_date_x000a_- remove joins to language, country, currency, member_firm"/>
    <n v="0.1"/>
    <n v="0.5"/>
    <x v="2"/>
  </r>
  <r>
    <s v="cost_centre"/>
    <x v="0"/>
    <s v="dimension"/>
    <s v="mds"/>
    <s v="mds_costcenter"/>
    <s v="Review NRF Feedback"/>
    <s v="company (taxonomy)_x000a_currency (taxonomy)"/>
    <s v="Y"/>
    <s v="rename costcenter to cost_centre_x000a_make sure columns are using &quot;centre&quot; instead of &quot;center&quot;"/>
    <s v="- remove columns_x000a_- remove join to currency_x000a_- relabel columns"/>
    <n v="0.25"/>
    <n v="0.25"/>
    <x v="0"/>
  </r>
  <r>
    <s v="country"/>
    <x v="1"/>
    <s v="dimension"/>
    <s v="taxonomy"/>
    <s v="taxonomy_countries"/>
    <s v="Ready for 2nd review"/>
    <s v="language (taxonomy)"/>
    <s v="Y"/>
    <m/>
    <s v="- remove last_updated_date_x000a_- remove joins to language, currency"/>
    <n v="0.1"/>
    <n v="0.5"/>
    <x v="0"/>
  </r>
  <r>
    <s v="currency"/>
    <x v="1"/>
    <s v="dimension"/>
    <s v="taxonomy"/>
    <s v="taxonomy_currencies"/>
    <s v="Ready for 2nd review"/>
    <m/>
    <m/>
    <m/>
    <s v="- remove last_updated_date"/>
    <n v="0.02"/>
    <n v="0.5"/>
    <x v="0"/>
  </r>
  <r>
    <s v="efi"/>
    <x v="2"/>
    <s v="dimension"/>
    <s v="Internal Excel Upload"/>
    <s v="EFI Sample"/>
    <s v="Review NRF Feedback"/>
    <s v="company (taxonomy)_x000a_cost_centre_x000a_practice_group (taxonomy)_x000a_office (taxonomy)_x000a_team (taxonomy)_x000a_matter_x000a_currency (taxonomy)"/>
    <m/>
    <m/>
    <s v="- update columns to use consistent naming convention_x000a_- update business keys_x000a_- foreign key to person"/>
    <n v="0.2"/>
    <n v="0.5"/>
    <x v="2"/>
  </r>
  <r>
    <s v="email"/>
    <x v="0"/>
    <s v="dimension"/>
    <s v="mds"/>
    <s v="mds_email"/>
    <s v="Review NRF Feedback"/>
    <s v="email_type_x000a_person"/>
    <s v="Y"/>
    <m/>
    <s v="- Drop from model"/>
    <n v="0.01"/>
    <n v="0.125"/>
    <x v="1"/>
  </r>
  <r>
    <s v="email_type"/>
    <x v="0"/>
    <s v="dimension"/>
    <s v="mds"/>
    <s v="mds_emailtype"/>
    <s v="Review NRF Feedback"/>
    <m/>
    <m/>
    <m/>
    <s v="- Drop from model"/>
    <n v="0.01"/>
    <n v="0"/>
    <x v="1"/>
  </r>
  <r>
    <s v="employee_group"/>
    <x v="1"/>
    <s v="dimension"/>
    <s v="taxonomy"/>
    <s v="taxonomy_employee_groups"/>
    <s v="Ready for 2nd review"/>
    <s v="language (taxonomy)"/>
    <m/>
    <m/>
    <s v="- Drop from model"/>
    <n v="0.01"/>
    <n v="0"/>
    <x v="1"/>
  </r>
  <r>
    <s v="employee_sub_group"/>
    <x v="1"/>
    <s v="dimension"/>
    <s v="taxonomy"/>
    <s v="taxonomy_employee_subgroups"/>
    <s v="Ready for 2nd review"/>
    <m/>
    <m/>
    <m/>
    <s v="- remove last_updated_date_x000a_- employee group merged in_x000a_- remove joins to empolyee_group, language"/>
    <n v="0.1"/>
    <n v="0.5"/>
    <x v="2"/>
  </r>
  <r>
    <s v="entity_type"/>
    <x v="0"/>
    <s v="dimension"/>
    <s v="mds"/>
    <s v="mds_entitytype"/>
    <s v="Review NRF Feedback"/>
    <m/>
    <m/>
    <m/>
    <s v="- Drop from model"/>
    <n v="0.01"/>
    <n v="0"/>
    <x v="1"/>
  </r>
  <r>
    <s v="exchange_rate"/>
    <x v="3"/>
    <s v="dimension"/>
    <s v="mds_x000a_oanda"/>
    <s v="mds_exchangerates_x000a_oanda_fx_rates_usd_x000a_oanda_fx_rates_usd_last_month_avg"/>
    <s v="Ready for 2nd review"/>
    <s v="currency (taxonomy)"/>
    <s v="N"/>
    <m/>
    <s v="- use currency code instead of surrogate keys_x000a_- consistent columns names_x000a_- Clean up of rate_type values"/>
    <n v="0.2"/>
    <n v="1"/>
    <x v="2"/>
  </r>
  <r>
    <s v="global_strategic_initiative"/>
    <x v="1"/>
    <s v="dimension"/>
    <s v="taxonomy"/>
    <s v="taxonomy_global_strategic_intiatives"/>
    <s v="Ready for 2nd review"/>
    <m/>
    <m/>
    <m/>
    <s v="- remove last_updated_date_x000a_- remove join to language"/>
    <n v="0.1"/>
    <n v="0.5"/>
    <x v="2"/>
  </r>
  <r>
    <s v="group"/>
    <x v="0"/>
    <s v="dimension"/>
    <s v="mds"/>
    <s v="mds_group"/>
    <s v="Review NRF Feedback"/>
    <s v="member_firm_x000a_entity_type_x000a_person_x000a_org_category"/>
    <m/>
    <m/>
    <s v="- Drop from model"/>
    <n v="0.01"/>
    <n v="0"/>
    <x v="1"/>
  </r>
  <r>
    <s v="language"/>
    <x v="1"/>
    <s v="dimension"/>
    <s v="taxonomy"/>
    <s v="taxonomy_languages"/>
    <s v="Ready for 2nd review"/>
    <m/>
    <m/>
    <m/>
    <s v="- remove last_updated_date"/>
    <n v="0.02"/>
    <n v="0.5"/>
    <x v="2"/>
  </r>
  <r>
    <s v="matter"/>
    <x v="0"/>
    <s v="dimension"/>
    <s v="mds_x000a_gmdr_x000a_cmidb_x000a_wallbuilder"/>
    <s v="mds_matter_x000a_cmidb_work_x000a_gmdr_sap_proj"/>
    <s v="Review NRF Feedback"/>
    <m/>
    <s v="Y"/>
    <m/>
    <s v="- remove columns_x000a_- relabel columns_x000a_- new reference table joins"/>
    <n v="1"/>
    <n v="1.5"/>
    <x v="0"/>
  </r>
  <r>
    <s v="matter_billing_frequency"/>
    <x v="4"/>
    <s v="dimension"/>
    <s v="gmdr"/>
    <s v="gmdr_sap_proj"/>
    <s v="To do"/>
    <m/>
    <m/>
    <s v="New reference table required by matter"/>
    <m/>
    <n v="0.5"/>
    <n v="0.5"/>
    <x v="2"/>
  </r>
  <r>
    <s v="matter_category"/>
    <x v="4"/>
    <s v="dimension"/>
    <s v="gmdr"/>
    <s v="gmdr_sap_zprs_mattercatt"/>
    <s v="To do"/>
    <m/>
    <m/>
    <s v="New reference table required by matter"/>
    <m/>
    <n v="0.5"/>
    <n v="0.5"/>
    <x v="2"/>
  </r>
  <r>
    <s v="matter_entry_type"/>
    <x v="4"/>
    <s v="dimension"/>
    <s v="gmdr"/>
    <s v="gmdr_sap_proj"/>
    <s v="To do"/>
    <m/>
    <m/>
    <s v="New reference table required by matter"/>
    <m/>
    <n v="0.5"/>
    <n v="0.5"/>
    <x v="2"/>
  </r>
  <r>
    <s v="matter_financials"/>
    <x v="2"/>
    <s v="dimension"/>
    <s v="Internal Excel Upload"/>
    <s v="_NRF_MatterFinancials"/>
    <s v="Review NRF Feedback"/>
    <s v="matter_x000a_client_x000a_currency (taxonomy)"/>
    <m/>
    <m/>
    <s v="- update columns to use consistent naming convention_x000a_- update business keys"/>
    <n v="0.1"/>
    <n v="0.5"/>
    <x v="2"/>
  </r>
  <r>
    <s v="matter_sector"/>
    <x v="1"/>
    <s v="dimension"/>
    <s v="taxonomy"/>
    <s v="taxonomy_matter_sector_ibg_sind"/>
    <s v="Ready for 2nd review"/>
    <m/>
    <s v="Y"/>
    <m/>
    <s v="- change table name _x000a_- update columns names_x000a_- update business keys_x000a_- remove last_updated_date_x000a_- remove join to language"/>
    <n v="0.2"/>
    <n v="0.5"/>
    <x v="0"/>
  </r>
  <r>
    <s v="matter_office"/>
    <x v="0"/>
    <s v="dimension"/>
    <s v="mds"/>
    <s v="mds_matteroffice"/>
    <s v="Review NRF Feedback"/>
    <s v="matter_x000a_office (taxonomy)_x000a_matter_status_x000a_company (taxonomy)_x000a_member_firm"/>
    <m/>
    <m/>
    <s v="- remove columns_x000a_- update business keys_x000a_- relabel columns"/>
    <n v="0.25"/>
    <n v="0.5"/>
    <x v="2"/>
  </r>
  <r>
    <s v="matter_partner"/>
    <x v="0"/>
    <s v="dimension"/>
    <s v="gmdr"/>
    <s v="gmdr_sap_ihpa"/>
    <s v="Review NRF Feedback"/>
    <s v="matter"/>
    <m/>
    <m/>
    <s v="- remove columns_x000a_- relabel columns"/>
    <n v="0.2"/>
    <n v="0.5"/>
    <x v="2"/>
  </r>
  <r>
    <s v="matter_partner_allocation"/>
    <x v="0"/>
    <s v="dimension"/>
    <s v="gmdr"/>
    <s v="gmdr_sap_zprs_tkalocmattr"/>
    <s v="Review NRF Feedback"/>
    <s v="matter_x000a_person_x000a_office (taxonomy)_x000a_team (taxonomy)"/>
    <m/>
    <m/>
    <s v="- new table, needs review"/>
    <n v="0.25"/>
    <n v="0.5"/>
    <x v="2"/>
  </r>
  <r>
    <s v="matter_partner_function"/>
    <x v="0"/>
    <s v="dimension"/>
    <s v="gmdr"/>
    <s v="gmdr_sap_ihpa"/>
    <s v="To do"/>
    <m/>
    <m/>
    <s v="New reference table required by matter_partner"/>
    <m/>
    <n v="0.5"/>
    <n v="0.5"/>
    <x v="2"/>
  </r>
  <r>
    <s v="matter_phase_set"/>
    <x v="0"/>
    <s v="dimension"/>
    <s v="gmdr"/>
    <s v="gmdr_sap_zprs_mat_ph_set"/>
    <s v="Review NRF Feedback"/>
    <s v="matter"/>
    <m/>
    <m/>
    <s v="- potentially dropped and added to matter"/>
    <n v="0.25"/>
    <n v="0.5"/>
    <x v="2"/>
  </r>
  <r>
    <s v="matter_related_party"/>
    <x v="0"/>
    <s v="dimension"/>
    <s v="cmidb"/>
    <s v="cmidb_partytoworkrelationships"/>
    <s v="Review NRF Feedback"/>
    <s v="matter_x000a_related_party"/>
    <m/>
    <m/>
    <s v="- Drop from model"/>
    <n v="0.01"/>
    <n v="0"/>
    <x v="1"/>
  </r>
  <r>
    <s v="matter_relationship"/>
    <x v="0"/>
    <s v="dimension"/>
    <s v="mds"/>
    <s v="matter"/>
    <s v="Review NRF Feedback"/>
    <s v="matter"/>
    <s v="Y"/>
    <s v="Check if still required"/>
    <m/>
    <n v="0"/>
    <n v="0"/>
    <x v="3"/>
  </r>
  <r>
    <s v="matter_status"/>
    <x v="1"/>
    <s v="dimension"/>
    <s v="mds"/>
    <s v="mds_memberstatus"/>
    <s v="Waiting for NRF updates"/>
    <s v="member_firm"/>
    <s v="Y"/>
    <s v="New taxonomy source required"/>
    <s v="- new taxonomy source_x000a_- update columns names_x000a_- remove_last_updated_date"/>
    <n v="0.25"/>
    <n v="0.5"/>
    <x v="0"/>
  </r>
  <r>
    <s v="member_firm"/>
    <x v="0"/>
    <s v="dimension"/>
    <s v="mds"/>
    <s v="mds_memberfirm"/>
    <s v="Review NRF Feedback"/>
    <m/>
    <s v="Y"/>
    <m/>
    <s v="- Drop from model"/>
    <n v="0.01"/>
    <n v="0.125"/>
    <x v="1"/>
  </r>
  <r>
    <s v="nature_of_proceeding"/>
    <x v="1"/>
    <s v="dimension"/>
    <s v="taxonomy"/>
    <s v="taxonomy_matter_nature_of_proceeding"/>
    <s v="Ready for 2nd review"/>
    <m/>
    <s v="Y"/>
    <m/>
    <s v="- remove last_updated_date_x000a_- remove join to language_x000a_- update business keys"/>
    <n v="0.1"/>
    <n v="0.5"/>
    <x v="0"/>
  </r>
  <r>
    <s v="office"/>
    <x v="1"/>
    <s v="dimension"/>
    <s v="mds_x000a_taxonomy"/>
    <s v="mds_office_x000a_taxonomy_offices"/>
    <s v="Waiting for NRF updates"/>
    <s v="member_firm_x000a_entity_type_x000a_language (taxonomy)_x000a_country (taxonomy)_x000a_company (taxonomy)"/>
    <s v="Y"/>
    <s v="New taxonomy fields required"/>
    <s v="- remove columns_x000a_- update source of columns to new taxonomy fields_x000a_- remove last_updated_date"/>
    <n v="0.25"/>
    <n v="0.5"/>
    <x v="0"/>
  </r>
  <r>
    <s v="office_member_firm"/>
    <x v="0"/>
    <s v="dimension"/>
    <s v="mds"/>
    <s v="mds_officememberfirm"/>
    <s v="Review NRF Feedback"/>
    <s v="office_x000a_member_firm_x000a_country (taxonomy)_x000a_company (taxonomy)"/>
    <s v="Y"/>
    <m/>
    <s v="- Drop from model"/>
    <n v="0.01"/>
    <n v="0.125"/>
    <x v="1"/>
  </r>
  <r>
    <s v="org_category"/>
    <x v="0"/>
    <s v="dimension"/>
    <s v="mds"/>
    <s v="mds_orgcategory"/>
    <s v="Review NRF Feedback"/>
    <m/>
    <m/>
    <m/>
    <s v="- Drop from model"/>
    <n v="0.01"/>
    <n v="0"/>
    <x v="1"/>
  </r>
  <r>
    <s v="person"/>
    <x v="0"/>
    <s v="dimension"/>
    <s v="mds_x000a_gmdr"/>
    <s v="mds_person_x000a_gmdr_sap_pa9007"/>
    <s v="Review NRF Feedback"/>
    <s v="member_firm_x000a_sub_team_x000a_practice_group (taxonomy)_x000a_band_group (taxonomy)"/>
    <s v="Y"/>
    <m/>
    <s v="- Add fields from person_locale, person_system_map_x000a_- potentially add fields from phone and person_cost_centre"/>
    <n v="0.5"/>
    <n v="1"/>
    <x v="0"/>
  </r>
  <r>
    <s v="person_assignment"/>
    <x v="0"/>
    <s v="dimension"/>
    <s v="mds_x000a_gmdr"/>
    <s v="mds_person_x000a_gmdr_sap_pa0001_x000a_gmdr_sap_pa9007"/>
    <s v="Review NRF Feedback"/>
    <s v="person_x000a_cost_centre_x000a_practice_group (taxonomy)_x000a_company (taxonomy)_x000a_employee_group (taxonomy)_x000a_employee_sub_group (taxonomy)_x000a_band_group (taxonomy)_x000a_band_level (taxonomy)"/>
    <m/>
    <m/>
    <s v="- Drop from model"/>
    <n v="0.01"/>
    <n v="0"/>
    <x v="1"/>
  </r>
  <r>
    <s v="person_cost_centre"/>
    <x v="0"/>
    <s v="dimension"/>
    <s v="mds"/>
    <s v="mds_personcostcentre"/>
    <s v="Waiting for NRF updates"/>
    <s v="person_x000a_cost_centre"/>
    <m/>
    <m/>
    <s v="- could be dropped"/>
    <n v="0.01"/>
    <n v="0.125"/>
    <x v="0"/>
  </r>
  <r>
    <s v="person_locale"/>
    <x v="0"/>
    <s v="dimension"/>
    <s v="mds"/>
    <s v="mds_personlocale"/>
    <s v="Review NRF Feedback"/>
    <s v="person_x000a_member_firm_x000a_phone_x000a_office (taxonomy)"/>
    <m/>
    <m/>
    <s v="- Drop from model"/>
    <n v="0.01"/>
    <n v="0"/>
    <x v="1"/>
  </r>
  <r>
    <s v="person_relationship"/>
    <x v="0"/>
    <s v="dimension"/>
    <s v="mds"/>
    <s v="mds_personrelationship"/>
    <s v="Review NRF Feedback"/>
    <s v="person_x000a_relationship_type"/>
    <m/>
    <m/>
    <s v="- additional columns_x000a_- update business keys_x000a_- relabel columns"/>
    <n v="0.2"/>
    <n v="0.5"/>
    <x v="0"/>
  </r>
  <r>
    <s v="person_system_map"/>
    <x v="0"/>
    <s v="dimension"/>
    <s v="mds"/>
    <s v="mds_personsystemmap"/>
    <s v="Review NRF Feedback"/>
    <s v="person_x000a_member_firm"/>
    <s v="Y"/>
    <m/>
    <s v="- Drop from model"/>
    <n v="0.01"/>
    <n v="0.125"/>
    <x v="1"/>
  </r>
  <r>
    <s v="phone"/>
    <x v="0"/>
    <s v="dimension"/>
    <s v="mds"/>
    <s v="mds_phone"/>
    <s v="Waiting for NRF updates"/>
    <s v="person"/>
    <s v="Y"/>
    <m/>
    <s v="- could be dropped"/>
    <n v="0.01"/>
    <n v="0.125"/>
    <x v="1"/>
  </r>
  <r>
    <s v="practice_group"/>
    <x v="1"/>
    <s v="dimension"/>
    <s v="taxonomy"/>
    <s v="taxonomy_practice_groups"/>
    <s v="Ready for 2nd review"/>
    <m/>
    <s v="Y"/>
    <m/>
    <s v="- remove last_updated_date_x000a_- remove join to language"/>
    <n v="0.1"/>
    <n v="0.5"/>
    <x v="0"/>
  </r>
  <r>
    <s v="related_party"/>
    <x v="0"/>
    <s v="dimension"/>
    <s v="cmidb"/>
    <s v="cmidb_parties"/>
    <s v="Review NRF Feedback"/>
    <s v="country (taxonomy)"/>
    <m/>
    <m/>
    <s v="- Drop from model"/>
    <n v="0.01"/>
    <n v="0"/>
    <x v="1"/>
  </r>
  <r>
    <s v="relationship_type"/>
    <x v="0"/>
    <s v="dimension"/>
    <s v="mds"/>
    <s v="mds_relationshiptype"/>
    <s v="Review NRF Feedback"/>
    <s v="member_firm"/>
    <m/>
    <m/>
    <s v="- Drop from model"/>
    <n v="0.01"/>
    <n v="0"/>
    <x v="1"/>
  </r>
  <r>
    <s v="sub_team"/>
    <x v="1"/>
    <s v="dimension"/>
    <s v="mds"/>
    <s v="mds_subteam"/>
    <s v="Waiting for NRF updates"/>
    <s v="member_firm_x000a_team (taxonomy)_x000a_org_category_x000a_person"/>
    <s v="Y"/>
    <s v="New taxonomy source required if required by CV"/>
    <s v="- new taxonomy source_x000a_- update columns names_x000a_- remove_last_updated_date"/>
    <n v="0.25"/>
    <n v="0.5"/>
    <x v="0"/>
  </r>
  <r>
    <s v="team"/>
    <x v="1"/>
    <s v="dimension"/>
    <s v="mds_x000a_taxonomy"/>
    <s v="mds_team_x000a_taxonomy_teams"/>
    <s v="Review NRF Feedback"/>
    <s v="member_firm_x000a_entity_type_x000a_group_x000a_org_category_x000a_person_x000a_practice_group (taxonomy)_x000a_language (taxonomy)"/>
    <s v="Y"/>
    <s v="need to understand impact of dropping mds source"/>
    <s v="- remove columns_x000a_- remove last_updated_date"/>
    <n v="0.25"/>
    <n v="0.5"/>
    <x v="0"/>
  </r>
  <r>
    <s v="team_practice_group_relationship"/>
    <x v="1"/>
    <s v="dimension"/>
    <s v="taxonomy"/>
    <s v="taxonomy_team_to_pg"/>
    <s v="Ready for 2nd review"/>
    <s v="practice_group (taxonomy)_x000a_team (taxonomy)"/>
    <m/>
    <m/>
    <s v="- Drop from model"/>
    <n v="0.01"/>
    <n v="0"/>
    <x v="1"/>
  </r>
  <r>
    <s v="tme"/>
    <x v="2"/>
    <s v="dimension"/>
    <s v="Internal Excel Upload"/>
    <s v="TME Sample"/>
    <s v="Review NRF Feedback"/>
    <s v="practice_group (taxonomy)_x000a_office (taxonomy)_x000a_team (taxonomy)_x000a_employee_group (taxonomy)_x000a_employee_sub_group (taxonomy)_x000a_band_group (taxonomy)_x000a_band_level (taxonomy)"/>
    <m/>
    <m/>
    <s v="- update columns to use consistent naming convention_x000a_- update business keys_x000a_- foreign key to person_x000a_- remove columns"/>
    <n v="0.2"/>
    <n v="0.5"/>
    <x v="2"/>
  </r>
  <r>
    <s v="work_type"/>
    <x v="1"/>
    <s v="dimension"/>
    <s v="taxonomy"/>
    <s v="taxonomy_matter_worktypes"/>
    <s v="Ready for 2nd review"/>
    <m/>
    <s v="Y"/>
    <m/>
    <s v="- remove last_updated_date_x000a_- remove join to language_x000a_- update business keys"/>
    <n v="0.1"/>
    <n v="0.5"/>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3D4392-A108-4E99-A260-A50140C2D522}" name="PivotTable2" cacheId="16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G9" firstHeaderRow="1" firstDataRow="2" firstDataCol="1"/>
  <pivotFields count="13">
    <pivotField dataField="1" compact="0" outline="0" showAll="0"/>
    <pivotField axis="axisCol" compact="0" outline="0" showAll="0">
      <items count="6">
        <item x="0"/>
        <item x="3"/>
        <item x="1"/>
        <item x="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x="1"/>
        <item x="2"/>
        <item x="0"/>
        <item x="3"/>
        <item m="1" x="4"/>
        <item t="default"/>
      </items>
    </pivotField>
  </pivotFields>
  <rowFields count="1">
    <field x="12"/>
  </rowFields>
  <rowItems count="5">
    <i>
      <x/>
    </i>
    <i>
      <x v="1"/>
    </i>
    <i>
      <x v="2"/>
    </i>
    <i>
      <x v="3"/>
    </i>
    <i t="grand">
      <x/>
    </i>
  </rowItems>
  <colFields count="1">
    <field x="1"/>
  </colFields>
  <colItems count="6">
    <i>
      <x/>
    </i>
    <i>
      <x v="1"/>
    </i>
    <i>
      <x v="2"/>
    </i>
    <i>
      <x v="3"/>
    </i>
    <i>
      <x v="4"/>
    </i>
    <i t="grand">
      <x/>
    </i>
  </colItems>
  <dataFields count="1">
    <dataField name="Count of Target Entit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3" dT="2026-04-23T06:58:47.96" personId="{01047818-E74D-476D-8F84-D0841081A526}" id="{01288E2E-E5DC-4E9E-9DDF-68FC4B14F678}">
    <text>generally best practice is the PK name matches the table name with _key at the end</text>
  </threadedComment>
</ThreadedComments>
</file>

<file path=xl/threadedComments/threadedComment2.xml><?xml version="1.0" encoding="utf-8"?>
<ThreadedComments xmlns="http://schemas.microsoft.com/office/spreadsheetml/2018/threadedcomments" xmlns:x="http://schemas.openxmlformats.org/spreadsheetml/2006/main">
  <threadedComment ref="O3" dT="2026-04-23T06:58:47.96" personId="{01047818-E74D-476D-8F84-D0841081A526}" id="{49025012-8837-432A-A520-081D5A7D0B84}">
    <text>generally best practice is the PK name matches the table name with _key at the end</text>
  </threadedComment>
</ThreadedComments>
</file>

<file path=xl/threadedComments/threadedComment3.xml><?xml version="1.0" encoding="utf-8"?>
<ThreadedComments xmlns="http://schemas.microsoft.com/office/spreadsheetml/2018/threadedcomments" xmlns:x="http://schemas.openxmlformats.org/spreadsheetml/2006/main">
  <threadedComment ref="O3" dT="2026-04-23T06:59:10.56" personId="{01047818-E74D-476D-8F84-D0841081A526}" id="{27425226-4D2E-486C-8F7D-66F7CF3FFF9C}">
    <text>generally best practice is the PK name matches the table name with _key at the end</text>
  </threadedComment>
</ThreadedComments>
</file>

<file path=xl/threadedComments/threadedComment4.xml><?xml version="1.0" encoding="utf-8"?>
<ThreadedComments xmlns="http://schemas.microsoft.com/office/spreadsheetml/2018/threadedcomments" xmlns:x="http://schemas.openxmlformats.org/spreadsheetml/2006/main">
  <threadedComment ref="O6" dT="2026-04-22T09:33:28.09" personId="{01047818-E74D-476D-8F84-D0841081A526}" id="{07B54DFB-7AC5-4929-BBED-347E041F01EE}">
    <text>not a foreign key to another gold table, only to silver mds table</text>
  </threadedComment>
</ThreadedComments>
</file>

<file path=xl/threadedComments/threadedComment5.xml><?xml version="1.0" encoding="utf-8"?>
<ThreadedComments xmlns="http://schemas.microsoft.com/office/spreadsheetml/2018/threadedcomments" xmlns:x="http://schemas.openxmlformats.org/spreadsheetml/2006/main">
  <threadedComment ref="A1" dT="2026-04-27T12:31:35.77" personId="{01047818-E74D-476D-8F84-D0841081A526}" id="{ABC6368E-5AE1-4DC5-8762-8FD3FFDD4C74}" done="1">
    <text>rename to just partner_function?</text>
  </threadedComment>
</ThreadedComments>
</file>

<file path=xl/threadedComments/threadedComment6.xml><?xml version="1.0" encoding="utf-8"?>
<ThreadedComments xmlns="http://schemas.microsoft.com/office/spreadsheetml/2018/threadedcomments" xmlns:x="http://schemas.openxmlformats.org/spreadsheetml/2006/main">
  <threadedComment ref="M3" dT="2026-04-23T07:01:01.34" personId="{01047818-E74D-476D-8F84-D0841081A526}" id="{9C88CC5B-0DDC-4E6F-A4AA-CC19ED00895C}">
    <text>what would it join to?</text>
  </threadedComment>
</ThreadedComments>
</file>

<file path=xl/threadedComments/threadedComment7.xml><?xml version="1.0" encoding="utf-8"?>
<ThreadedComments xmlns="http://schemas.microsoft.com/office/spreadsheetml/2018/threadedcomments" xmlns:x="http://schemas.openxmlformats.org/spreadsheetml/2006/main">
  <threadedComment ref="M4" dT="2026-04-17T13:33:03.57" personId="{01047818-E74D-476D-8F84-D0841081A526}" id="{B095FD7D-8566-44B7-AD2C-27B270BF0696}">
    <text xml:space="preserve"> which column from person would it join to? is it system_employee_code?</text>
  </threadedComment>
</ThreadedComments>
</file>

<file path=xl/threadedComments/threadedComment8.xml><?xml version="1.0" encoding="utf-8"?>
<ThreadedComments xmlns="http://schemas.microsoft.com/office/spreadsheetml/2018/threadedcomments" xmlns:x="http://schemas.openxmlformats.org/spreadsheetml/2006/main">
  <threadedComment ref="A59" dT="2026-04-22T09:49:39.49" personId="{01047818-E74D-476D-8F84-D0841081A526}" id="{CDA5B01D-BFBE-461E-AACD-C89F852AE9BD}" done="1">
    <text>Shall we add a rate_type_description column to this table, or create a reference table in the exchange_rate model to hold the descriptions?</text>
  </threadedComment>
  <threadedComment ref="A59" dT="2026-04-23T09:00:30.23" personId="{01047818-E74D-476D-8F84-D0841081A526}" id="{55387630-72F0-4E74-B9B7-5E4538EF1486}" parentId="{CDA5B01D-BFBE-461E-AACD-C89F852AE9BD}">
    <text>no need</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6-04-22T10:03:03.02" personId="{01047818-E74D-476D-8F84-D0841081A526}" id="{3D06F51C-8FFD-41F2-9937-7D38B88DAA04}">
    <text>rename table to client_address??</text>
  </threadedComment>
  <threadedComment ref="F4" dT="2026-04-23T11:14:55.02" personId="{01047818-E74D-476D-8F84-D0841081A526}" id="{405586CB-AF17-4A3B-A79E-FF137CE49432}" done="1">
    <text>Use SourceSystemID instead?</text>
  </threadedComment>
</ThreadedComments>
</file>

<file path=xl/threadedComments/threadedComment10.xml><?xml version="1.0" encoding="utf-8"?>
<ThreadedComments xmlns="http://schemas.microsoft.com/office/spreadsheetml/2018/threadedcomments" xmlns:x="http://schemas.openxmlformats.org/spreadsheetml/2006/main">
  <threadedComment ref="F4" dT="2026-04-23T11:14:55.02" personId="{01047818-E74D-476D-8F84-D0841081A526}" id="{62226C96-2379-4830-B836-FAF362FDBBAC}" done="1">
    <text>Use SourceSystemID instead?</text>
  </threadedComment>
</ThreadedComments>
</file>

<file path=xl/threadedComments/threadedComment11.xml><?xml version="1.0" encoding="utf-8"?>
<ThreadedComments xmlns="http://schemas.microsoft.com/office/spreadsheetml/2018/threadedcomments" xmlns:x="http://schemas.openxmlformats.org/spreadsheetml/2006/main">
  <threadedComment ref="A16" dT="2026-04-27T15:38:16.66" personId="{01047818-E74D-476D-8F84-D0841081A526}" id="{3E404278-E68B-43B5-8311-7DAA6D126202}" done="1">
    <text>merge onto matter_office</text>
  </threadedComment>
  <threadedComment ref="E18" dT="2026-04-28T07:33:06.96" personId="{01047818-E74D-476D-8F84-D0841081A526}" id="{541D43CD-A025-4BD3-B877-03BE0FAE20D1}" done="1">
    <text>use mds or gmdr as data source?</text>
  </threadedComment>
  <threadedComment ref="E18" dT="2026-04-29T10:14:45.07" personId="{01047818-E74D-476D-8F84-D0841081A526}" id="{07AD734A-C2EF-4CD1-8DC6-0575D2EF8CF1}" parentId="{541D43CD-A025-4BD3-B877-03BE0FAE20D1}">
    <text>mds</text>
  </threadedComment>
  <threadedComment ref="E18" dT="2026-04-30T10:09:46.18" personId="{01047818-E74D-476D-8F84-D0841081A526}" id="{75653AFD-0035-4AFB-8216-762747750A99}" parentId="{541D43CD-A025-4BD3-B877-03BE0FAE20D1}">
    <text>either mds data SAPCode will need to be updated or mapping logic to be hardcoded</text>
  </threadedComment>
  <threadedComment ref="E18" dT="2026-05-04T13:28:15.79" personId="{01047818-E74D-476D-8F84-D0841081A526}" id="{81D15C16-213A-43A4-842D-D00CA867FE96}" parentId="{541D43CD-A025-4BD3-B877-03BE0FAE20D1}">
    <text>DD to populate the SAPCode in MDS</text>
  </threadedComment>
  <threadedComment ref="A43" dT="2026-05-26T15:56:15.55" personId="{01047818-E74D-476D-8F84-D0841081A526}" id="{17C2A7D8-8A3F-4D87-B358-A408E9895777}" done="1">
    <text>added this for GBIZ</text>
  </threadedComment>
  <threadedComment ref="E56" dT="2026-04-28T07:58:35.60" personId="{01047818-E74D-476D-8F84-D0841081A526}" id="{EE2EC668-5A6C-46C4-B7E1-A1F17DB30F30}" done="1">
    <text>us gmdr or mds as source?</text>
  </threadedComment>
</ThreadedComments>
</file>

<file path=xl/threadedComments/threadedComment12.xml><?xml version="1.0" encoding="utf-8"?>
<ThreadedComments xmlns="http://schemas.microsoft.com/office/spreadsheetml/2018/threadedcomments" xmlns:x="http://schemas.openxmlformats.org/spreadsheetml/2006/main">
  <threadedComment ref="A4" dT="2026-04-27T12:27:43.30" personId="{01047818-E74D-476D-8F84-D0841081A526}" id="{F4929088-F9CF-43E0-9D7D-9FCAA8DFFEF7}" done="1">
    <text>rename to person_number?</text>
  </threadedComment>
</ThreadedComments>
</file>

<file path=xl/threadedComments/threadedComment13.xml><?xml version="1.0" encoding="utf-8"?>
<ThreadedComments xmlns="http://schemas.microsoft.com/office/spreadsheetml/2018/threadedcomments" xmlns:x="http://schemas.openxmlformats.org/spreadsheetml/2006/main">
  <threadedComment ref="A29" dT="2026-06-04T08:01:10.71" personId="{01047818-E74D-476D-8F84-D0841081A526}" id="{D8FCF308-7034-4938-8575-34C17DF43439}">
    <text>This logic is now on person. use person.person_record_rank = 1</text>
  </threadedComment>
</ThreadedComments>
</file>

<file path=xl/threadedComments/threadedComment14.xml><?xml version="1.0" encoding="utf-8"?>
<ThreadedComments xmlns="http://schemas.microsoft.com/office/spreadsheetml/2018/threadedcomments" xmlns:x="http://schemas.openxmlformats.org/spreadsheetml/2006/main">
  <threadedComment ref="C6" dT="2026-04-27T16:04:24.75" personId="{01047818-E74D-476D-8F84-D0841081A526}" id="{0592971B-ED64-4D8A-8F27-CAAF95657075}">
    <text>mds_matter or mds_matteroffice? The values are differnet</text>
  </threadedComment>
</ThreadedComments>
</file>

<file path=xl/threadedComments/threadedComment15.xml><?xml version="1.0" encoding="utf-8"?>
<ThreadedComments xmlns="http://schemas.microsoft.com/office/spreadsheetml/2018/threadedcomments" xmlns:x="http://schemas.openxmlformats.org/spreadsheetml/2006/main">
  <threadedComment ref="A17" dT="2026-04-13T15:13:09.40" personId="{09C39A34-98CC-47DB-A09C-584C264EDFA7}" id="{C533E4F6-37EC-4A8B-A9EB-3566BE44ED38}">
    <text xml:space="preserve">this is the data on the client to matter sic mapping taxonomy sheet. Not sure if it is actually required to be table in canonical model as it can probably be obtained by joining client to matter anyway. </text>
  </threadedComment>
  <threadedComment ref="A17" dT="2026-04-16T11:32:09.26" personId="{23717993-1A28-4D6F-A610-A06E860307F7}" id="{6F72C3C5-4DD3-4BA8-9C2F-73E0E348E7B5}" parentId="{C533E4F6-37EC-4A8B-A9EB-3566BE44ED38}">
    <text>It is needed as a taxonomy to tell the Regions the allowed joins</text>
  </threadedComment>
</ThreadedComments>
</file>

<file path=xl/threadedComments/threadedComment16.xml><?xml version="1.0" encoding="utf-8"?>
<ThreadedComments xmlns="http://schemas.microsoft.com/office/spreadsheetml/2018/threadedcomments" xmlns:x="http://schemas.openxmlformats.org/spreadsheetml/2006/main">
  <threadedComment ref="A19" dT="2026-04-13T14:05:54.28" personId="{09C39A34-98CC-47DB-A09C-584C264EDFA7}" id="{D242E794-182E-42B8-A0BF-AE6BDD201214}">
    <text>seems to be on employeesubgroup</text>
  </threadedComment>
</ThreadedComments>
</file>

<file path=xl/threadedComments/threadedComment17.xml><?xml version="1.0" encoding="utf-8"?>
<ThreadedComments xmlns="http://schemas.microsoft.com/office/spreadsheetml/2018/threadedcomments" xmlns:x="http://schemas.openxmlformats.org/spreadsheetml/2006/main">
  <threadedComment ref="M17" dT="2026-04-22T13:44:41.08" personId="{01047818-E74D-476D-8F84-D0841081A526}" id="{2AFEC94F-F6BD-42C5-AF93-901C3575E759}">
    <text>this is on person so not needed here</text>
  </threadedComment>
</ThreadedComments>
</file>

<file path=xl/threadedComments/threadedComment18.xml><?xml version="1.0" encoding="utf-8"?>
<ThreadedComments xmlns="http://schemas.microsoft.com/office/spreadsheetml/2018/threadedcomments" xmlns:x="http://schemas.openxmlformats.org/spreadsheetml/2006/main">
  <threadedComment ref="A10" dT="2026-04-21T14:35:15.30" personId="{01047818-E74D-476D-8F84-D0841081A526}" id="{7F06A0AB-D43A-4EBE-9BA7-F42F34CA0A52}">
    <text>is this column needed?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sites/TaxonomyDatabase" TargetMode="External"/><Relationship Id="rId2" Type="http://schemas.openxmlformats.org/officeDocument/2006/relationships/hyperlink" Target="../../../../../../../../../../../../../sites/TaxonomyDatabase" TargetMode="External"/><Relationship Id="rId1" Type="http://schemas.openxmlformats.org/officeDocument/2006/relationships/hyperlink" Target="https://exchange-rates-api.oanda.com/v1/rates/" TargetMode="Externa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microsoft.com/office/2019/04/relationships/namedSheetView" Target="../namedSheetViews/namedSheetView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TgIcXT&amp;nav=MTVfe0E2RTZCMDU3LUIwMUItNEQyNy1BQ0RELTUyNDk5NDM2OTc3MH0" TargetMode="External"/><Relationship Id="rId4" Type="http://schemas.microsoft.com/office/2017/10/relationships/threadedComment" Target="../threadedComments/threadedComment6.xml"/></Relationships>
</file>

<file path=xl/worksheets/_rels/sheet32.xml.rels><?xml version="1.0" encoding="UTF-8" standalone="yes"?>
<Relationships xmlns="http://schemas.openxmlformats.org/package/2006/relationships"><Relationship Id="rId2" Type="http://schemas.openxmlformats.org/officeDocument/2006/relationships/hyperlink" Target="../../../../../../../../../../../../../:x:/r/teams/GLODataFabric/Shared%20Documents/General/Global%20Shared%20Services/Global%20Transition%20Programme/2.%20Architecture/1.%20Working%20Documents/Canonical%20Model/Transactional%20Templates%20MASTER.xlsx?d=w5da27f9f21da4773bb1b07ad4d69fca4&amp;csf=1&amp;web=1&amp;e=qZJ2lz&amp;nav=MTVfe0ZFMUJBNUUxLTgwMTItNDcxRC1CNkFELUM2RkQ2MDc5RDNCOH0" TargetMode="External"/><Relationship Id="rId1" Type="http://schemas.openxmlformats.org/officeDocument/2006/relationships/hyperlink" Target="../../../../../../../../../../../../../:x:/r/teams/GLODataFabric/Shared%20Documents/General/Global%20Shared%20Services/Global%20Transition%20Programme/2.%20Architecture/1.%20Working%20Documents/Design/Client%20and%20Matter%20Financials/Client%26MatterFinancials.xlsx?d=wb8b70c5ea8fa42b4bc264bc5e484e0c9&amp;csf=1&amp;web=1&amp;e=IDCfco&amp;nav=MTVfezBFMUFBMEY1LUMyQjktNDcxNC1BRUY2LTJDMjc3QzU4N0I3RX0" TargetMode="External"/></Relationships>
</file>

<file path=xl/worksheets/_rels/sheet33.xml.rels><?xml version="1.0" encoding="UTF-8" standalone="yes"?>
<Relationships xmlns="http://schemas.openxmlformats.org/package/2006/relationships"><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0MeFP1&amp;nav=MTVfe0VGQThGQUMyLUQ1ODYtNEU1MC1BOTJELUNBMTkxNkI3RDI0Rn0" TargetMode="External"/></Relationships>
</file>

<file path=xl/worksheets/_rels/sheet34.xml.rels><?xml version="1.0" encoding="UTF-8" standalone="yes"?>
<Relationships xmlns="http://schemas.openxmlformats.org/package/2006/relationships"><Relationship Id="rId2" Type="http://schemas.openxmlformats.org/officeDocument/2006/relationships/hyperlink" Target="../../../../../../../../../../../../../:x:/r/teams/GLODataFabric/Shared%20Documents/General/Global%20Shared%20Services/Global%20Transition%20Programme/2.%20Architecture/1.%20Working%20Documents/Canonical%20Model/Transactional%20Templates%20MASTER.xlsx?d=w5da27f9f21da4773bb1b07ad4d69fca4&amp;csf=1&amp;web=1&amp;e=qZJ2lz&amp;nav=MTVfe0ZFMUJBNUUxLTgwMTItNDcxRC1CNkFELUM2RkQ2MDc5RDNCOH0" TargetMode="External"/><Relationship Id="rId1" Type="http://schemas.openxmlformats.org/officeDocument/2006/relationships/hyperlink" Target="../../../../../../../../../../../../../:x:/r/teams/GLODataFabric/Shared%20Documents/General/Global%20Shared%20Services/Global%20Transition%20Programme/2.%20Architecture/1.%20Working%20Documents/Design/Client%20and%20Matter%20Financials/Client%26MatterFinancials.xlsx?d=wb8b70c5ea8fa42b4bc264bc5e484e0c9&amp;csf=1&amp;web=1&amp;e=WcWvDj&amp;nav=MTVfezYwMDFENEM2LTFFREItNDdDMC1BMzU1LUQ2NTkyNjAxOTdGMn0"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1.bin"/><Relationship Id="rId1" Type="http://schemas.openxmlformats.org/officeDocument/2006/relationships/hyperlink" Target="../../../../../../../../../../../../../:x:/r/teams/GLODataFabric/Shared%20Documents/General/Global%20Shared%20Services/Global%20Transition%20Programme/2.%20Architecture/1.%20Working%20Documents/Data/GBIZ/Sample%20Data%20for%20Transactional%20Schemas.xlsx?d=wcd898fab66f7428a82e152120ed1a3cb&amp;csf=1&amp;web=1&amp;e=PZqfuv&amp;nav=MTVfe0IxMDc2OUZELTQ0OEItNERCOC04OTUyLUY5MEUxRDI5OTUzNn0" TargetMode="Externa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8.xml"/><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37.xml.rels><?xml version="1.0" encoding="UTF-8" standalone="yes"?>
<Relationships xmlns="http://schemas.openxmlformats.org/package/2006/relationships"><Relationship Id="rId3" Type="http://schemas.microsoft.com/office/2017/10/relationships/threadedComment" Target="../threadedComments/threadedComment9.xml"/><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38.xml.rels><?xml version="1.0" encoding="UTF-8" standalone="yes"?>
<Relationships xmlns="http://schemas.openxmlformats.org/package/2006/relationships"><Relationship Id="rId3" Type="http://schemas.microsoft.com/office/2017/10/relationships/threadedComment" Target="../threadedComments/threadedComment10.xml"/><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4.bin"/><Relationship Id="rId4" Type="http://schemas.microsoft.com/office/2017/10/relationships/threadedComment" Target="../threadedComments/threadedComment11.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50.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52.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5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8.xml.rels><?xml version="1.0" encoding="UTF-8" standalone="yes"?>
<Relationships xmlns="http://schemas.openxmlformats.org/package/2006/relationships"><Relationship Id="rId3" Type="http://schemas.microsoft.com/office/2017/10/relationships/threadedComment" Target="../threadedComments/threadedComment15.xml"/><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63.xml.rels><?xml version="1.0" encoding="UTF-8" standalone="yes"?>
<Relationships xmlns="http://schemas.openxmlformats.org/package/2006/relationships"><Relationship Id="rId3" Type="http://schemas.microsoft.com/office/2017/10/relationships/threadedComment" Target="../threadedComments/threadedComment16.xml"/><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74.xml.rels><?xml version="1.0" encoding="UTF-8" standalone="yes"?>
<Relationships xmlns="http://schemas.openxmlformats.org/package/2006/relationships"><Relationship Id="rId3" Type="http://schemas.microsoft.com/office/2017/10/relationships/threadedComment" Target="../threadedComments/threadedComment17.xml"/><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81.xml.rels><?xml version="1.0" encoding="UTF-8" standalone="yes"?>
<Relationships xmlns="http://schemas.openxmlformats.org/package/2006/relationships"><Relationship Id="rId3" Type="http://schemas.microsoft.com/office/2017/10/relationships/threadedComment" Target="../threadedComments/threadedComment18.xml"/><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57AB7-7C08-44E2-B059-902FFA937C25}">
  <sheetPr codeName="Sheet1"/>
  <dimension ref="A1:J14"/>
  <sheetViews>
    <sheetView workbookViewId="0">
      <selection activeCell="J6" sqref="J6"/>
    </sheetView>
  </sheetViews>
  <sheetFormatPr defaultRowHeight="14.45"/>
  <cols>
    <col min="1" max="1" width="17.5703125" bestFit="1" customWidth="1"/>
    <col min="2" max="2" width="18.42578125" customWidth="1"/>
    <col min="3" max="3" width="48.5703125" customWidth="1"/>
    <col min="4" max="4" width="19.5703125" customWidth="1"/>
    <col min="5" max="5" width="20.140625" customWidth="1"/>
    <col min="6" max="6" width="21" customWidth="1"/>
    <col min="7" max="7" width="52.42578125" customWidth="1"/>
    <col min="8" max="8" width="26" customWidth="1"/>
    <col min="9" max="9" width="40.7109375" customWidth="1"/>
    <col min="10" max="10" width="18" customWidth="1"/>
  </cols>
  <sheetData>
    <row r="1" spans="1:10" ht="21">
      <c r="A1" s="18" t="s">
        <v>0</v>
      </c>
    </row>
    <row r="3" spans="1:10">
      <c r="A3" s="12" t="s">
        <v>1</v>
      </c>
      <c r="B3" s="12" t="s">
        <v>2</v>
      </c>
      <c r="C3" s="12" t="s">
        <v>3</v>
      </c>
      <c r="D3" s="17" t="s">
        <v>4</v>
      </c>
      <c r="E3" s="12" t="s">
        <v>5</v>
      </c>
      <c r="F3" s="12" t="s">
        <v>6</v>
      </c>
      <c r="G3" s="12" t="s">
        <v>7</v>
      </c>
      <c r="H3" s="12" t="s">
        <v>8</v>
      </c>
      <c r="I3" s="12" t="s">
        <v>9</v>
      </c>
      <c r="J3" s="12" t="s">
        <v>10</v>
      </c>
    </row>
    <row r="4" spans="1:10" ht="29.1">
      <c r="A4" s="14" t="s">
        <v>11</v>
      </c>
      <c r="B4" s="14" t="s">
        <v>12</v>
      </c>
      <c r="C4" s="14" t="s">
        <v>13</v>
      </c>
      <c r="D4" s="14" t="s">
        <v>14</v>
      </c>
      <c r="E4" s="14"/>
      <c r="F4" s="14" t="s">
        <v>15</v>
      </c>
      <c r="G4" s="14" t="s">
        <v>16</v>
      </c>
      <c r="H4" s="14" t="s">
        <v>17</v>
      </c>
      <c r="I4" s="14" t="s">
        <v>18</v>
      </c>
      <c r="J4" s="16" t="s">
        <v>19</v>
      </c>
    </row>
    <row r="5" spans="1:10" ht="29.1">
      <c r="A5" s="14" t="s">
        <v>20</v>
      </c>
      <c r="B5" s="14" t="s">
        <v>21</v>
      </c>
      <c r="C5" s="14" t="s">
        <v>22</v>
      </c>
      <c r="D5" s="14" t="s">
        <v>23</v>
      </c>
      <c r="E5" s="14" t="s">
        <v>24</v>
      </c>
      <c r="F5" s="14">
        <v>1</v>
      </c>
      <c r="G5" s="29" t="s">
        <v>25</v>
      </c>
      <c r="H5" s="14" t="s">
        <v>26</v>
      </c>
      <c r="I5" s="14" t="s">
        <v>27</v>
      </c>
      <c r="J5" s="16" t="s">
        <v>28</v>
      </c>
    </row>
    <row r="6" spans="1:10" ht="29.1">
      <c r="A6" s="14" t="s">
        <v>29</v>
      </c>
      <c r="B6" s="14" t="s">
        <v>30</v>
      </c>
      <c r="C6" s="14" t="s">
        <v>31</v>
      </c>
      <c r="D6" s="14" t="s">
        <v>23</v>
      </c>
      <c r="E6" s="14"/>
      <c r="F6" s="14">
        <v>1</v>
      </c>
      <c r="G6" s="29" t="s">
        <v>25</v>
      </c>
      <c r="H6" s="14" t="s">
        <v>26</v>
      </c>
      <c r="I6" s="14" t="s">
        <v>27</v>
      </c>
      <c r="J6" s="16" t="s">
        <v>28</v>
      </c>
    </row>
    <row r="7" spans="1:10" ht="29.1">
      <c r="A7" s="14" t="s">
        <v>32</v>
      </c>
      <c r="B7" s="14" t="s">
        <v>33</v>
      </c>
      <c r="C7" s="14" t="s">
        <v>34</v>
      </c>
      <c r="D7" s="14" t="s">
        <v>35</v>
      </c>
      <c r="E7" s="14"/>
      <c r="F7" s="14">
        <v>1</v>
      </c>
      <c r="G7" s="29" t="s">
        <v>36</v>
      </c>
      <c r="H7" s="29"/>
      <c r="I7" s="14" t="s">
        <v>37</v>
      </c>
      <c r="J7" s="15" t="s">
        <v>38</v>
      </c>
    </row>
    <row r="8" spans="1:10" ht="29.1">
      <c r="A8" s="14" t="s">
        <v>39</v>
      </c>
      <c r="B8" s="14" t="s">
        <v>40</v>
      </c>
      <c r="C8" s="14" t="s">
        <v>41</v>
      </c>
      <c r="D8" s="14" t="s">
        <v>14</v>
      </c>
      <c r="E8" s="14"/>
      <c r="F8" s="14" t="s">
        <v>15</v>
      </c>
      <c r="G8" s="14" t="s">
        <v>42</v>
      </c>
      <c r="H8" s="14" t="s">
        <v>17</v>
      </c>
      <c r="I8" s="30" t="s">
        <v>43</v>
      </c>
      <c r="J8" s="15" t="s">
        <v>19</v>
      </c>
    </row>
    <row r="9" spans="1:10" ht="29.1">
      <c r="A9" s="14" t="s">
        <v>44</v>
      </c>
      <c r="B9" s="14" t="s">
        <v>45</v>
      </c>
      <c r="C9" s="14" t="s">
        <v>46</v>
      </c>
      <c r="D9" s="14" t="s">
        <v>14</v>
      </c>
      <c r="E9" s="14"/>
      <c r="F9" s="14" t="s">
        <v>47</v>
      </c>
      <c r="G9" s="14" t="s">
        <v>48</v>
      </c>
      <c r="H9" s="14" t="s">
        <v>49</v>
      </c>
      <c r="I9" s="30" t="s">
        <v>50</v>
      </c>
      <c r="J9" s="16" t="s">
        <v>19</v>
      </c>
    </row>
    <row r="10" spans="1:10" ht="29.1">
      <c r="A10" s="14" t="s">
        <v>51</v>
      </c>
      <c r="B10" s="14" t="s">
        <v>52</v>
      </c>
      <c r="C10" s="14" t="s">
        <v>53</v>
      </c>
      <c r="D10" s="14" t="s">
        <v>14</v>
      </c>
      <c r="E10" s="14"/>
      <c r="F10" s="14" t="s">
        <v>15</v>
      </c>
      <c r="G10" s="14" t="s">
        <v>54</v>
      </c>
      <c r="H10" s="14" t="s">
        <v>17</v>
      </c>
      <c r="I10" s="14" t="s">
        <v>55</v>
      </c>
      <c r="J10" s="16" t="s">
        <v>19</v>
      </c>
    </row>
    <row r="12" spans="1:10">
      <c r="A12" s="52" t="s">
        <v>56</v>
      </c>
    </row>
    <row r="13" spans="1:10">
      <c r="A13" s="41" t="s">
        <v>57</v>
      </c>
    </row>
    <row r="14" spans="1:10">
      <c r="A14" t="s">
        <v>58</v>
      </c>
    </row>
  </sheetData>
  <dataValidations count="1">
    <dataValidation type="list" allowBlank="1" showInputMessage="1" showErrorMessage="1" error="To add a new item to the list, please go to the 'Reference Data' worksheet." sqref="D4:D8" xr:uid="{BF6BDA22-96E5-4F2C-9325-A4E7DDF97757}">
      <formula1>Valid_Source_Type</formula1>
    </dataValidation>
  </dataValidations>
  <hyperlinks>
    <hyperlink ref="G7" r:id="rId1" xr:uid="{4D191F64-E67A-4A0C-ACC7-0A98431A5F39}"/>
    <hyperlink ref="G5" r:id="rId2" xr:uid="{2ABAF1F0-4157-4FB0-85F7-F256521D77F6}"/>
    <hyperlink ref="G6" r:id="rId3" xr:uid="{4775DA87-CBC3-4C0D-9A68-996AA2185E9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8FA28-C524-4817-B0FC-15E083530316}">
  <sheetPr codeName="Sheet2"/>
  <dimension ref="A1:B10"/>
  <sheetViews>
    <sheetView workbookViewId="0">
      <selection activeCell="B14" sqref="B14"/>
    </sheetView>
  </sheetViews>
  <sheetFormatPr defaultRowHeight="14.45"/>
  <cols>
    <col min="1" max="1" width="40.85546875" customWidth="1"/>
    <col min="2" max="2" width="48.5703125" customWidth="1"/>
  </cols>
  <sheetData>
    <row r="1" spans="1:2" ht="21">
      <c r="A1" s="18" t="s">
        <v>59</v>
      </c>
    </row>
    <row r="3" spans="1:2">
      <c r="A3" s="12" t="s">
        <v>1</v>
      </c>
      <c r="B3" s="12" t="s">
        <v>3</v>
      </c>
    </row>
    <row r="4" spans="1:2">
      <c r="A4" s="107" t="s">
        <v>60</v>
      </c>
      <c r="B4" s="107" t="s">
        <v>61</v>
      </c>
    </row>
    <row r="5" spans="1:2">
      <c r="A5" s="105" t="s">
        <v>62</v>
      </c>
      <c r="B5" s="105" t="s">
        <v>63</v>
      </c>
    </row>
    <row r="6" spans="1:2">
      <c r="A6" s="106" t="s">
        <v>64</v>
      </c>
      <c r="B6" s="106" t="s">
        <v>65</v>
      </c>
    </row>
    <row r="7" spans="1:2">
      <c r="A7" s="104" t="s">
        <v>66</v>
      </c>
      <c r="B7" s="104" t="s">
        <v>67</v>
      </c>
    </row>
    <row r="9" spans="1:2">
      <c r="A9" s="52"/>
    </row>
    <row r="10" spans="1:2">
      <c r="A10" s="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7622C-825A-48C2-A44D-78CB02CA23BD}">
  <dimension ref="A3:G9"/>
  <sheetViews>
    <sheetView workbookViewId="0">
      <selection activeCell="B6" sqref="B6:F7"/>
    </sheetView>
  </sheetViews>
  <sheetFormatPr defaultRowHeight="14.45"/>
  <cols>
    <col min="1" max="1" width="21" bestFit="1" customWidth="1"/>
    <col min="2" max="2" width="21.7109375" bestFit="1" customWidth="1"/>
    <col min="3" max="3" width="26.5703125" bestFit="1" customWidth="1"/>
    <col min="4" max="4" width="22.42578125" bestFit="1" customWidth="1"/>
    <col min="5" max="5" width="25" bestFit="1" customWidth="1"/>
    <col min="6" max="6" width="7.42578125" bestFit="1" customWidth="1"/>
    <col min="7" max="7" width="11.7109375" bestFit="1" customWidth="1"/>
  </cols>
  <sheetData>
    <row r="3" spans="1:7">
      <c r="A3" s="66" t="s">
        <v>68</v>
      </c>
      <c r="B3" s="66" t="s">
        <v>69</v>
      </c>
    </row>
    <row r="4" spans="1:7">
      <c r="A4" s="66" t="s">
        <v>70</v>
      </c>
      <c r="B4" t="s">
        <v>60</v>
      </c>
      <c r="C4" t="s">
        <v>64</v>
      </c>
      <c r="D4" t="s">
        <v>66</v>
      </c>
      <c r="E4" t="s">
        <v>62</v>
      </c>
      <c r="F4" t="s">
        <v>71</v>
      </c>
      <c r="G4" t="s">
        <v>72</v>
      </c>
    </row>
    <row r="5" spans="1:7">
      <c r="A5" t="s">
        <v>73</v>
      </c>
      <c r="B5">
        <v>18</v>
      </c>
      <c r="D5">
        <v>3</v>
      </c>
      <c r="G5">
        <v>21</v>
      </c>
    </row>
    <row r="6" spans="1:7">
      <c r="A6" t="s">
        <v>74</v>
      </c>
      <c r="B6">
        <v>5</v>
      </c>
      <c r="C6">
        <v>1</v>
      </c>
      <c r="D6">
        <v>6</v>
      </c>
      <c r="E6">
        <v>5</v>
      </c>
      <c r="F6">
        <v>3</v>
      </c>
      <c r="G6">
        <v>20</v>
      </c>
    </row>
    <row r="7" spans="1:7">
      <c r="A7" t="s">
        <v>75</v>
      </c>
      <c r="B7">
        <v>7</v>
      </c>
      <c r="D7">
        <v>11</v>
      </c>
      <c r="G7">
        <v>18</v>
      </c>
    </row>
    <row r="8" spans="1:7">
      <c r="A8" t="s">
        <v>76</v>
      </c>
      <c r="B8">
        <v>2</v>
      </c>
      <c r="G8">
        <v>2</v>
      </c>
    </row>
    <row r="9" spans="1:7">
      <c r="A9" t="s">
        <v>72</v>
      </c>
      <c r="B9">
        <v>32</v>
      </c>
      <c r="C9">
        <v>1</v>
      </c>
      <c r="D9">
        <v>20</v>
      </c>
      <c r="E9">
        <v>5</v>
      </c>
      <c r="F9">
        <v>3</v>
      </c>
      <c r="G9">
        <v>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CFC20-A3CE-4A0F-8D25-9C0F947942D5}">
  <sheetPr codeName="Sheet3"/>
  <dimension ref="A1:L68"/>
  <sheetViews>
    <sheetView workbookViewId="0">
      <selection activeCell="B8" sqref="B8"/>
    </sheetView>
  </sheetViews>
  <sheetFormatPr defaultRowHeight="15" customHeight="1"/>
  <cols>
    <col min="1" max="1" width="36.42578125" bestFit="1" customWidth="1"/>
    <col min="2" max="2" width="36.42578125" customWidth="1"/>
    <col min="3" max="4" width="19.85546875" customWidth="1"/>
    <col min="5" max="5" width="45.5703125" customWidth="1"/>
    <col min="6" max="7" width="24.85546875" customWidth="1"/>
    <col min="8" max="8" width="14.5703125" customWidth="1"/>
    <col min="9" max="9" width="54.42578125" customWidth="1"/>
    <col min="10" max="10" width="41.7109375" customWidth="1"/>
    <col min="11" max="11" width="8.85546875" bestFit="1" customWidth="1"/>
  </cols>
  <sheetData>
    <row r="1" spans="1:12" ht="21">
      <c r="A1" s="13" t="s">
        <v>77</v>
      </c>
      <c r="B1" s="55" t="s">
        <v>20</v>
      </c>
      <c r="C1" s="53" t="s">
        <v>78</v>
      </c>
      <c r="D1" s="73" t="s">
        <v>79</v>
      </c>
      <c r="E1" s="54" t="s">
        <v>80</v>
      </c>
      <c r="F1" s="56" t="s">
        <v>81</v>
      </c>
      <c r="G1" s="57" t="s">
        <v>82</v>
      </c>
    </row>
    <row r="2" spans="1:12" ht="21">
      <c r="A2" s="13"/>
      <c r="B2" s="13"/>
      <c r="C2" s="13"/>
      <c r="D2" s="13"/>
      <c r="E2" s="13"/>
    </row>
    <row r="3" spans="1:12" ht="57.95">
      <c r="A3" s="12" t="s">
        <v>83</v>
      </c>
      <c r="B3" s="12" t="s">
        <v>69</v>
      </c>
      <c r="C3" s="12" t="s">
        <v>84</v>
      </c>
      <c r="D3" s="12" t="s">
        <v>85</v>
      </c>
      <c r="E3" s="12" t="s">
        <v>86</v>
      </c>
      <c r="F3" s="12" t="s">
        <v>87</v>
      </c>
      <c r="G3" s="12" t="s">
        <v>88</v>
      </c>
      <c r="H3" s="12" t="s">
        <v>89</v>
      </c>
      <c r="I3" s="12" t="s">
        <v>90</v>
      </c>
      <c r="J3" s="12" t="s">
        <v>91</v>
      </c>
      <c r="K3" s="12" t="s">
        <v>92</v>
      </c>
      <c r="L3" t="s">
        <v>70</v>
      </c>
    </row>
    <row r="4" spans="1:12" ht="15" customHeight="1">
      <c r="A4" s="42" t="s">
        <v>93</v>
      </c>
      <c r="B4" s="10" t="s">
        <v>60</v>
      </c>
      <c r="C4" s="10" t="s">
        <v>94</v>
      </c>
      <c r="D4" s="10" t="s">
        <v>12</v>
      </c>
      <c r="E4" s="10" t="s">
        <v>95</v>
      </c>
      <c r="F4" s="10" t="s">
        <v>96</v>
      </c>
      <c r="G4" s="10" t="s">
        <v>97</v>
      </c>
      <c r="H4" s="59" t="s">
        <v>98</v>
      </c>
      <c r="I4" s="10"/>
      <c r="J4" s="64" t="s">
        <v>99</v>
      </c>
      <c r="K4" s="10">
        <v>0.25</v>
      </c>
      <c r="L4" t="s">
        <v>75</v>
      </c>
    </row>
    <row r="5" spans="1:12" ht="15" customHeight="1">
      <c r="A5" s="60" t="s">
        <v>100</v>
      </c>
      <c r="B5" s="58" t="s">
        <v>60</v>
      </c>
      <c r="C5" s="58" t="s">
        <v>94</v>
      </c>
      <c r="D5" s="58" t="s">
        <v>12</v>
      </c>
      <c r="E5" s="58" t="s">
        <v>101</v>
      </c>
      <c r="F5" s="58" t="s">
        <v>102</v>
      </c>
      <c r="G5" s="58"/>
      <c r="H5" s="61" t="s">
        <v>98</v>
      </c>
      <c r="I5" s="58"/>
      <c r="J5" s="65" t="s">
        <v>103</v>
      </c>
      <c r="K5" s="58">
        <v>0.01</v>
      </c>
      <c r="L5" t="s">
        <v>73</v>
      </c>
    </row>
    <row r="6" spans="1:12" ht="15" customHeight="1">
      <c r="A6" s="60" t="s">
        <v>104</v>
      </c>
      <c r="B6" s="58" t="s">
        <v>66</v>
      </c>
      <c r="C6" s="58" t="s">
        <v>94</v>
      </c>
      <c r="D6" s="58" t="s">
        <v>21</v>
      </c>
      <c r="E6" s="58" t="s">
        <v>105</v>
      </c>
      <c r="F6" s="58" t="s">
        <v>102</v>
      </c>
      <c r="G6" s="58"/>
      <c r="H6" s="61"/>
      <c r="I6" s="58"/>
      <c r="J6" s="65" t="s">
        <v>106</v>
      </c>
      <c r="K6" s="58">
        <v>0.1</v>
      </c>
      <c r="L6" t="s">
        <v>73</v>
      </c>
    </row>
    <row r="7" spans="1:12" ht="15" customHeight="1">
      <c r="A7" s="42" t="s">
        <v>107</v>
      </c>
      <c r="B7" s="10" t="s">
        <v>66</v>
      </c>
      <c r="C7" s="10" t="s">
        <v>94</v>
      </c>
      <c r="D7" s="10" t="s">
        <v>21</v>
      </c>
      <c r="E7" s="10" t="s">
        <v>108</v>
      </c>
      <c r="F7" s="10" t="s">
        <v>96</v>
      </c>
      <c r="G7" s="10" t="s">
        <v>109</v>
      </c>
      <c r="H7" s="59"/>
      <c r="I7" s="10"/>
      <c r="J7" s="64" t="s">
        <v>106</v>
      </c>
      <c r="K7" s="10">
        <v>0.1</v>
      </c>
      <c r="L7" t="s">
        <v>74</v>
      </c>
    </row>
    <row r="8" spans="1:12" ht="15" customHeight="1">
      <c r="A8" s="42" t="s">
        <v>110</v>
      </c>
      <c r="B8" s="10" t="s">
        <v>66</v>
      </c>
      <c r="C8" s="10" t="s">
        <v>94</v>
      </c>
      <c r="D8" s="10" t="s">
        <v>21</v>
      </c>
      <c r="E8" s="10" t="s">
        <v>111</v>
      </c>
      <c r="F8" s="10" t="s">
        <v>96</v>
      </c>
      <c r="G8" s="10"/>
      <c r="H8" s="59"/>
      <c r="I8" s="10"/>
      <c r="J8" s="64"/>
      <c r="K8" s="10"/>
      <c r="L8" t="s">
        <v>74</v>
      </c>
    </row>
    <row r="9" spans="1:12" ht="15" customHeight="1">
      <c r="A9" s="42" t="s">
        <v>112</v>
      </c>
      <c r="B9" s="10" t="s">
        <v>62</v>
      </c>
      <c r="C9" s="10" t="s">
        <v>94</v>
      </c>
      <c r="D9" s="10" t="s">
        <v>113</v>
      </c>
      <c r="E9" s="10" t="s">
        <v>114</v>
      </c>
      <c r="F9" s="10" t="s">
        <v>115</v>
      </c>
      <c r="G9" s="10" t="s">
        <v>116</v>
      </c>
      <c r="H9" s="59"/>
      <c r="I9" s="10"/>
      <c r="J9" s="64" t="s">
        <v>117</v>
      </c>
      <c r="K9" s="10">
        <v>0.2</v>
      </c>
      <c r="L9" t="s">
        <v>74</v>
      </c>
    </row>
    <row r="10" spans="1:12" ht="15" customHeight="1">
      <c r="A10" s="42" t="s">
        <v>118</v>
      </c>
      <c r="B10" s="10" t="s">
        <v>60</v>
      </c>
      <c r="C10" s="10" t="s">
        <v>94</v>
      </c>
      <c r="D10" s="10" t="s">
        <v>119</v>
      </c>
      <c r="E10" s="10" t="s">
        <v>120</v>
      </c>
      <c r="F10" s="10" t="s">
        <v>96</v>
      </c>
      <c r="G10" s="10" t="s">
        <v>121</v>
      </c>
      <c r="H10" s="59" t="s">
        <v>98</v>
      </c>
      <c r="I10" s="10"/>
      <c r="J10" s="64" t="s">
        <v>122</v>
      </c>
      <c r="K10" s="10">
        <v>0.25</v>
      </c>
      <c r="L10" t="s">
        <v>75</v>
      </c>
    </row>
    <row r="11" spans="1:12" ht="15" customHeight="1">
      <c r="A11" s="42" t="s">
        <v>123</v>
      </c>
      <c r="B11" s="10" t="s">
        <v>62</v>
      </c>
      <c r="C11" s="10" t="s">
        <v>94</v>
      </c>
      <c r="D11" s="10" t="s">
        <v>113</v>
      </c>
      <c r="E11" s="10" t="s">
        <v>124</v>
      </c>
      <c r="F11" s="10" t="s">
        <v>96</v>
      </c>
      <c r="G11" s="10" t="s">
        <v>125</v>
      </c>
      <c r="H11" s="59"/>
      <c r="I11" s="10"/>
      <c r="J11" s="64" t="s">
        <v>126</v>
      </c>
      <c r="K11" s="10">
        <v>0.1</v>
      </c>
      <c r="L11" t="s">
        <v>74</v>
      </c>
    </row>
    <row r="12" spans="1:12" ht="15" customHeight="1">
      <c r="A12" s="60" t="s">
        <v>127</v>
      </c>
      <c r="B12" s="58" t="s">
        <v>60</v>
      </c>
      <c r="C12" s="58" t="s">
        <v>94</v>
      </c>
      <c r="D12" s="58" t="s">
        <v>12</v>
      </c>
      <c r="E12" s="58" t="s">
        <v>128</v>
      </c>
      <c r="F12" s="58" t="s">
        <v>102</v>
      </c>
      <c r="G12" s="58" t="s">
        <v>129</v>
      </c>
      <c r="H12" s="61"/>
      <c r="I12" s="58"/>
      <c r="J12" s="65" t="s">
        <v>103</v>
      </c>
      <c r="K12" s="58">
        <v>0.01</v>
      </c>
      <c r="L12" t="s">
        <v>73</v>
      </c>
    </row>
    <row r="13" spans="1:12" ht="15" customHeight="1">
      <c r="A13" s="60" t="s">
        <v>130</v>
      </c>
      <c r="B13" s="58" t="s">
        <v>66</v>
      </c>
      <c r="C13" s="58" t="s">
        <v>94</v>
      </c>
      <c r="D13" s="58" t="s">
        <v>21</v>
      </c>
      <c r="E13" s="58" t="s">
        <v>131</v>
      </c>
      <c r="F13" s="58" t="s">
        <v>102</v>
      </c>
      <c r="G13" s="58" t="s">
        <v>132</v>
      </c>
      <c r="H13" s="61"/>
      <c r="I13" s="58"/>
      <c r="J13" s="65" t="s">
        <v>133</v>
      </c>
      <c r="K13" s="58">
        <v>0.02</v>
      </c>
      <c r="L13" t="s">
        <v>73</v>
      </c>
    </row>
    <row r="14" spans="1:12" ht="15" customHeight="1">
      <c r="A14" s="60" t="s">
        <v>134</v>
      </c>
      <c r="B14" s="58" t="s">
        <v>60</v>
      </c>
      <c r="C14" s="58" t="s">
        <v>94</v>
      </c>
      <c r="D14" s="58" t="s">
        <v>12</v>
      </c>
      <c r="E14" s="58" t="s">
        <v>135</v>
      </c>
      <c r="F14" s="58" t="s">
        <v>102</v>
      </c>
      <c r="G14" s="58" t="s">
        <v>136</v>
      </c>
      <c r="H14" s="61"/>
      <c r="I14" s="58"/>
      <c r="J14" s="65" t="s">
        <v>103</v>
      </c>
      <c r="K14" s="58">
        <v>0.01</v>
      </c>
      <c r="L14" t="s">
        <v>73</v>
      </c>
    </row>
    <row r="15" spans="1:12" ht="15" customHeight="1">
      <c r="A15" s="60" t="s">
        <v>137</v>
      </c>
      <c r="B15" s="58" t="s">
        <v>60</v>
      </c>
      <c r="C15" s="58" t="s">
        <v>94</v>
      </c>
      <c r="D15" s="58" t="s">
        <v>12</v>
      </c>
      <c r="E15" s="58" t="s">
        <v>138</v>
      </c>
      <c r="F15" s="58" t="s">
        <v>102</v>
      </c>
      <c r="G15" s="58" t="s">
        <v>118</v>
      </c>
      <c r="H15" s="61" t="s">
        <v>98</v>
      </c>
      <c r="I15" s="58" t="s">
        <v>139</v>
      </c>
      <c r="J15" s="58"/>
      <c r="K15" s="58">
        <v>0</v>
      </c>
      <c r="L15" t="s">
        <v>73</v>
      </c>
    </row>
    <row r="16" spans="1:12" ht="15" customHeight="1">
      <c r="A16" s="42" t="s">
        <v>140</v>
      </c>
      <c r="B16" s="10" t="s">
        <v>66</v>
      </c>
      <c r="C16" s="10" t="s">
        <v>94</v>
      </c>
      <c r="D16" s="10" t="s">
        <v>21</v>
      </c>
      <c r="E16" s="10" t="s">
        <v>141</v>
      </c>
      <c r="F16" s="10" t="s">
        <v>96</v>
      </c>
      <c r="G16" s="10"/>
      <c r="H16" s="59" t="s">
        <v>98</v>
      </c>
      <c r="I16" s="10"/>
      <c r="J16" s="64" t="s">
        <v>142</v>
      </c>
      <c r="K16" s="10">
        <v>0.2</v>
      </c>
      <c r="L16" t="s">
        <v>75</v>
      </c>
    </row>
    <row r="17" spans="1:12" ht="15" customHeight="1">
      <c r="A17" s="60" t="s">
        <v>143</v>
      </c>
      <c r="B17" s="58" t="s">
        <v>60</v>
      </c>
      <c r="C17" s="58" t="s">
        <v>94</v>
      </c>
      <c r="D17" s="58" t="s">
        <v>12</v>
      </c>
      <c r="E17" s="58" t="s">
        <v>144</v>
      </c>
      <c r="F17" s="58" t="s">
        <v>102</v>
      </c>
      <c r="G17" s="58" t="s">
        <v>145</v>
      </c>
      <c r="H17" s="61" t="s">
        <v>98</v>
      </c>
      <c r="I17" s="58"/>
      <c r="J17" s="65" t="s">
        <v>103</v>
      </c>
      <c r="K17" s="58">
        <v>0.01</v>
      </c>
      <c r="L17" t="s">
        <v>73</v>
      </c>
    </row>
    <row r="18" spans="1:12" ht="15" customHeight="1">
      <c r="A18" s="42" t="s">
        <v>146</v>
      </c>
      <c r="B18" s="10" t="s">
        <v>66</v>
      </c>
      <c r="C18" s="10" t="s">
        <v>94</v>
      </c>
      <c r="D18" s="10" t="s">
        <v>21</v>
      </c>
      <c r="E18" s="10" t="s">
        <v>147</v>
      </c>
      <c r="F18" s="10" t="s">
        <v>96</v>
      </c>
      <c r="G18" s="10"/>
      <c r="H18" s="59"/>
      <c r="I18" s="10"/>
      <c r="J18" s="64" t="s">
        <v>148</v>
      </c>
      <c r="K18" s="10">
        <v>0.1</v>
      </c>
      <c r="L18" t="s">
        <v>74</v>
      </c>
    </row>
    <row r="19" spans="1:12" ht="15" customHeight="1">
      <c r="A19" s="42" t="s">
        <v>149</v>
      </c>
      <c r="B19" s="10" t="s">
        <v>60</v>
      </c>
      <c r="C19" s="10" t="s">
        <v>94</v>
      </c>
      <c r="D19" s="10" t="s">
        <v>12</v>
      </c>
      <c r="E19" s="10" t="s">
        <v>150</v>
      </c>
      <c r="F19" s="10" t="s">
        <v>96</v>
      </c>
      <c r="G19" s="10" t="s">
        <v>151</v>
      </c>
      <c r="H19" s="59" t="s">
        <v>98</v>
      </c>
      <c r="I19" s="10" t="s">
        <v>152</v>
      </c>
      <c r="J19" s="64" t="s">
        <v>153</v>
      </c>
      <c r="K19" s="10">
        <v>0.25</v>
      </c>
      <c r="L19" t="s">
        <v>75</v>
      </c>
    </row>
    <row r="20" spans="1:12" ht="15" customHeight="1">
      <c r="A20" s="43" t="s">
        <v>154</v>
      </c>
      <c r="B20" s="10" t="s">
        <v>66</v>
      </c>
      <c r="C20" s="10" t="s">
        <v>94</v>
      </c>
      <c r="D20" s="10" t="s">
        <v>21</v>
      </c>
      <c r="E20" s="10" t="s">
        <v>155</v>
      </c>
      <c r="F20" s="10" t="s">
        <v>96</v>
      </c>
      <c r="G20" s="10" t="s">
        <v>156</v>
      </c>
      <c r="H20" s="59" t="s">
        <v>98</v>
      </c>
      <c r="I20" s="10"/>
      <c r="J20" s="64" t="s">
        <v>157</v>
      </c>
      <c r="K20" s="10">
        <v>0.1</v>
      </c>
      <c r="L20" t="s">
        <v>75</v>
      </c>
    </row>
    <row r="21" spans="1:12" ht="15" customHeight="1">
      <c r="A21" s="43" t="s">
        <v>158</v>
      </c>
      <c r="B21" s="10" t="s">
        <v>66</v>
      </c>
      <c r="C21" s="10" t="s">
        <v>94</v>
      </c>
      <c r="D21" s="10" t="s">
        <v>21</v>
      </c>
      <c r="E21" s="10" t="s">
        <v>159</v>
      </c>
      <c r="F21" s="10" t="s">
        <v>96</v>
      </c>
      <c r="G21" s="10"/>
      <c r="H21" s="59"/>
      <c r="I21" s="10"/>
      <c r="J21" s="64" t="s">
        <v>133</v>
      </c>
      <c r="K21" s="10">
        <v>0.02</v>
      </c>
      <c r="L21" t="s">
        <v>75</v>
      </c>
    </row>
    <row r="22" spans="1:12" ht="15" customHeight="1">
      <c r="A22" s="43" t="s">
        <v>160</v>
      </c>
      <c r="B22" s="10" t="s">
        <v>62</v>
      </c>
      <c r="C22" s="10" t="s">
        <v>94</v>
      </c>
      <c r="D22" s="10" t="s">
        <v>113</v>
      </c>
      <c r="E22" s="10" t="s">
        <v>161</v>
      </c>
      <c r="F22" s="10" t="s">
        <v>115</v>
      </c>
      <c r="G22" s="10" t="s">
        <v>162</v>
      </c>
      <c r="H22" s="59"/>
      <c r="I22" s="10"/>
      <c r="J22" s="64" t="s">
        <v>117</v>
      </c>
      <c r="K22" s="10">
        <v>0.2</v>
      </c>
      <c r="L22" t="s">
        <v>74</v>
      </c>
    </row>
    <row r="23" spans="1:12" ht="15" customHeight="1">
      <c r="A23" s="62" t="s">
        <v>163</v>
      </c>
      <c r="B23" s="58" t="s">
        <v>60</v>
      </c>
      <c r="C23" s="58" t="s">
        <v>94</v>
      </c>
      <c r="D23" s="58" t="s">
        <v>12</v>
      </c>
      <c r="E23" s="58" t="s">
        <v>164</v>
      </c>
      <c r="F23" s="58" t="s">
        <v>102</v>
      </c>
      <c r="G23" s="58" t="s">
        <v>165</v>
      </c>
      <c r="H23" s="61" t="s">
        <v>98</v>
      </c>
      <c r="I23" s="58"/>
      <c r="J23" s="65" t="s">
        <v>103</v>
      </c>
      <c r="K23" s="58">
        <v>0.01</v>
      </c>
      <c r="L23" t="s">
        <v>73</v>
      </c>
    </row>
    <row r="24" spans="1:12" ht="15" customHeight="1">
      <c r="A24" s="62" t="s">
        <v>166</v>
      </c>
      <c r="B24" s="58" t="s">
        <v>60</v>
      </c>
      <c r="C24" s="58" t="s">
        <v>94</v>
      </c>
      <c r="D24" s="58" t="s">
        <v>12</v>
      </c>
      <c r="E24" s="58" t="s">
        <v>167</v>
      </c>
      <c r="F24" s="58" t="s">
        <v>102</v>
      </c>
      <c r="G24" s="58"/>
      <c r="H24" s="61"/>
      <c r="I24" s="58"/>
      <c r="J24" s="65" t="s">
        <v>103</v>
      </c>
      <c r="K24" s="58">
        <v>0.01</v>
      </c>
      <c r="L24" t="s">
        <v>73</v>
      </c>
    </row>
    <row r="25" spans="1:12" ht="15" customHeight="1">
      <c r="A25" s="62" t="s">
        <v>168</v>
      </c>
      <c r="B25" s="58" t="s">
        <v>66</v>
      </c>
      <c r="C25" s="58" t="s">
        <v>94</v>
      </c>
      <c r="D25" s="58" t="s">
        <v>21</v>
      </c>
      <c r="E25" s="58" t="s">
        <v>169</v>
      </c>
      <c r="F25" s="58" t="s">
        <v>102</v>
      </c>
      <c r="G25" s="58" t="s">
        <v>156</v>
      </c>
      <c r="H25" s="61"/>
      <c r="I25" s="58"/>
      <c r="J25" s="65" t="s">
        <v>103</v>
      </c>
      <c r="K25" s="58">
        <v>0.01</v>
      </c>
      <c r="L25" t="s">
        <v>73</v>
      </c>
    </row>
    <row r="26" spans="1:12" ht="15" customHeight="1">
      <c r="A26" s="43" t="s">
        <v>170</v>
      </c>
      <c r="B26" s="10" t="s">
        <v>66</v>
      </c>
      <c r="C26" s="10" t="s">
        <v>94</v>
      </c>
      <c r="D26" s="10" t="s">
        <v>21</v>
      </c>
      <c r="E26" s="10" t="s">
        <v>171</v>
      </c>
      <c r="F26" s="10" t="s">
        <v>96</v>
      </c>
      <c r="G26" s="10"/>
      <c r="H26" s="59"/>
      <c r="I26" s="10"/>
      <c r="J26" s="64" t="s">
        <v>172</v>
      </c>
      <c r="K26" s="10">
        <v>0.1</v>
      </c>
      <c r="L26" t="s">
        <v>74</v>
      </c>
    </row>
    <row r="27" spans="1:12" ht="15" customHeight="1">
      <c r="A27" s="62" t="s">
        <v>173</v>
      </c>
      <c r="B27" s="58" t="s">
        <v>60</v>
      </c>
      <c r="C27" s="92" t="s">
        <v>94</v>
      </c>
      <c r="D27" s="92" t="s">
        <v>12</v>
      </c>
      <c r="E27" s="92" t="s">
        <v>174</v>
      </c>
      <c r="F27" s="58" t="s">
        <v>102</v>
      </c>
      <c r="G27" s="92"/>
      <c r="H27" s="61"/>
      <c r="I27" s="92"/>
      <c r="J27" s="93" t="s">
        <v>103</v>
      </c>
      <c r="K27" s="92">
        <v>0.01</v>
      </c>
      <c r="L27" t="s">
        <v>73</v>
      </c>
    </row>
    <row r="28" spans="1:12" ht="15" customHeight="1">
      <c r="A28" s="43" t="s">
        <v>175</v>
      </c>
      <c r="B28" s="10" t="s">
        <v>66</v>
      </c>
      <c r="C28" s="11" t="s">
        <v>94</v>
      </c>
      <c r="D28" s="11" t="s">
        <v>21</v>
      </c>
      <c r="E28" s="11" t="s">
        <v>176</v>
      </c>
      <c r="F28" s="10" t="s">
        <v>96</v>
      </c>
      <c r="G28" s="11"/>
      <c r="H28" s="59"/>
      <c r="I28" s="11"/>
      <c r="J28" s="63"/>
      <c r="K28" s="11"/>
      <c r="L28" t="s">
        <v>74</v>
      </c>
    </row>
    <row r="29" spans="1:12" ht="15" customHeight="1">
      <c r="A29" s="43" t="s">
        <v>177</v>
      </c>
      <c r="B29" s="10" t="s">
        <v>64</v>
      </c>
      <c r="C29" s="10" t="s">
        <v>94</v>
      </c>
      <c r="D29" s="10" t="s">
        <v>178</v>
      </c>
      <c r="E29" s="10" t="s">
        <v>179</v>
      </c>
      <c r="F29" s="10" t="s">
        <v>96</v>
      </c>
      <c r="G29" s="10" t="s">
        <v>180</v>
      </c>
      <c r="H29" s="59"/>
      <c r="I29" s="10"/>
      <c r="J29" s="64" t="s">
        <v>181</v>
      </c>
      <c r="K29" s="10">
        <v>0.2</v>
      </c>
      <c r="L29" t="s">
        <v>74</v>
      </c>
    </row>
    <row r="30" spans="1:12" ht="15" customHeight="1">
      <c r="A30" s="43" t="s">
        <v>182</v>
      </c>
      <c r="B30" s="10" t="s">
        <v>66</v>
      </c>
      <c r="C30" s="10" t="s">
        <v>94</v>
      </c>
      <c r="D30" s="10" t="s">
        <v>21</v>
      </c>
      <c r="E30" s="10" t="s">
        <v>183</v>
      </c>
      <c r="F30" s="10" t="s">
        <v>96</v>
      </c>
      <c r="G30" s="10"/>
      <c r="H30" s="59"/>
      <c r="I30" s="10"/>
      <c r="J30" s="11" t="s">
        <v>106</v>
      </c>
      <c r="K30" s="10">
        <v>0.1</v>
      </c>
      <c r="L30" t="s">
        <v>74</v>
      </c>
    </row>
    <row r="31" spans="1:12" ht="15" customHeight="1">
      <c r="A31" s="62" t="s">
        <v>184</v>
      </c>
      <c r="B31" s="58" t="s">
        <v>60</v>
      </c>
      <c r="C31" s="58" t="s">
        <v>94</v>
      </c>
      <c r="D31" s="58" t="s">
        <v>12</v>
      </c>
      <c r="E31" s="58" t="s">
        <v>185</v>
      </c>
      <c r="F31" s="58" t="s">
        <v>102</v>
      </c>
      <c r="G31" s="58" t="s">
        <v>186</v>
      </c>
      <c r="H31" s="61"/>
      <c r="I31" s="58"/>
      <c r="J31" s="65" t="s">
        <v>103</v>
      </c>
      <c r="K31" s="58">
        <v>0.01</v>
      </c>
      <c r="L31" t="s">
        <v>73</v>
      </c>
    </row>
    <row r="32" spans="1:12" ht="15" customHeight="1">
      <c r="A32" s="62" t="s">
        <v>187</v>
      </c>
      <c r="B32" s="58" t="s">
        <v>66</v>
      </c>
      <c r="C32" s="58" t="s">
        <v>94</v>
      </c>
      <c r="D32" s="58" t="s">
        <v>21</v>
      </c>
      <c r="E32" s="58" t="s">
        <v>188</v>
      </c>
      <c r="F32" s="58" t="s">
        <v>102</v>
      </c>
      <c r="G32" s="58"/>
      <c r="H32" s="61"/>
      <c r="I32" s="58"/>
      <c r="J32" s="65" t="s">
        <v>133</v>
      </c>
      <c r="K32" s="58">
        <v>0.02</v>
      </c>
      <c r="L32" t="s">
        <v>73</v>
      </c>
    </row>
    <row r="33" spans="1:12" ht="15" customHeight="1">
      <c r="A33" s="43" t="s">
        <v>189</v>
      </c>
      <c r="B33" s="10" t="s">
        <v>60</v>
      </c>
      <c r="C33" s="10" t="s">
        <v>94</v>
      </c>
      <c r="D33" s="10" t="s">
        <v>190</v>
      </c>
      <c r="E33" s="10" t="s">
        <v>191</v>
      </c>
      <c r="F33" s="10" t="s">
        <v>96</v>
      </c>
      <c r="G33" s="10"/>
      <c r="H33" s="59" t="s">
        <v>98</v>
      </c>
      <c r="I33" s="10"/>
      <c r="J33" s="64" t="s">
        <v>192</v>
      </c>
      <c r="K33" s="10">
        <v>1</v>
      </c>
      <c r="L33" t="s">
        <v>75</v>
      </c>
    </row>
    <row r="34" spans="1:12" ht="15" customHeight="1">
      <c r="A34" s="43" t="s">
        <v>193</v>
      </c>
      <c r="B34" s="10" t="s">
        <v>66</v>
      </c>
      <c r="C34" s="10" t="s">
        <v>94</v>
      </c>
      <c r="D34" s="10" t="s">
        <v>21</v>
      </c>
      <c r="E34" s="10" t="s">
        <v>194</v>
      </c>
      <c r="F34" s="10" t="s">
        <v>96</v>
      </c>
      <c r="G34" s="10"/>
      <c r="H34" s="59"/>
      <c r="I34" s="10" t="s">
        <v>195</v>
      </c>
      <c r="J34" s="10"/>
      <c r="K34" s="10">
        <v>0.5</v>
      </c>
      <c r="L34" t="s">
        <v>74</v>
      </c>
    </row>
    <row r="35" spans="1:12" ht="15" customHeight="1">
      <c r="A35" s="43" t="s">
        <v>196</v>
      </c>
      <c r="B35" s="10" t="s">
        <v>66</v>
      </c>
      <c r="C35" s="10" t="s">
        <v>94</v>
      </c>
      <c r="D35" s="10" t="s">
        <v>21</v>
      </c>
      <c r="E35" s="10" t="s">
        <v>197</v>
      </c>
      <c r="F35" s="10" t="s">
        <v>96</v>
      </c>
      <c r="G35" s="10"/>
      <c r="H35" s="59"/>
      <c r="I35" s="10"/>
      <c r="J35" s="64"/>
      <c r="K35" s="10"/>
      <c r="L35" t="s">
        <v>74</v>
      </c>
    </row>
    <row r="36" spans="1:12" ht="15" customHeight="1">
      <c r="A36" s="43" t="s">
        <v>198</v>
      </c>
      <c r="B36" s="10" t="s">
        <v>66</v>
      </c>
      <c r="C36" s="10" t="s">
        <v>94</v>
      </c>
      <c r="D36" s="10" t="s">
        <v>21</v>
      </c>
      <c r="E36" s="10" t="s">
        <v>199</v>
      </c>
      <c r="F36" s="10" t="s">
        <v>96</v>
      </c>
      <c r="G36" s="10"/>
      <c r="H36" s="59"/>
      <c r="I36" s="10" t="s">
        <v>195</v>
      </c>
      <c r="J36" s="10"/>
      <c r="K36" s="10">
        <v>0.5</v>
      </c>
      <c r="L36" t="s">
        <v>74</v>
      </c>
    </row>
    <row r="37" spans="1:12" ht="15" customHeight="1">
      <c r="A37" s="43" t="s">
        <v>200</v>
      </c>
      <c r="B37" s="10" t="s">
        <v>66</v>
      </c>
      <c r="C37" s="10" t="s">
        <v>94</v>
      </c>
      <c r="D37" s="10" t="s">
        <v>40</v>
      </c>
      <c r="E37" s="10" t="s">
        <v>201</v>
      </c>
      <c r="F37" s="10" t="s">
        <v>96</v>
      </c>
      <c r="G37" s="10"/>
      <c r="H37" s="59"/>
      <c r="I37" s="10" t="s">
        <v>195</v>
      </c>
      <c r="J37" s="10"/>
      <c r="K37" s="10">
        <v>0.5</v>
      </c>
      <c r="L37" t="s">
        <v>74</v>
      </c>
    </row>
    <row r="38" spans="1:12" ht="15" customHeight="1">
      <c r="A38" s="43" t="s">
        <v>202</v>
      </c>
      <c r="B38" s="10" t="s">
        <v>62</v>
      </c>
      <c r="C38" s="10" t="s">
        <v>94</v>
      </c>
      <c r="D38" s="10" t="s">
        <v>113</v>
      </c>
      <c r="E38" s="10" t="s">
        <v>203</v>
      </c>
      <c r="F38" s="10" t="s">
        <v>96</v>
      </c>
      <c r="G38" s="10" t="s">
        <v>204</v>
      </c>
      <c r="H38" s="59"/>
      <c r="I38" s="10"/>
      <c r="J38" s="64" t="s">
        <v>126</v>
      </c>
      <c r="K38" s="10">
        <v>0.1</v>
      </c>
      <c r="L38" t="s">
        <v>74</v>
      </c>
    </row>
    <row r="39" spans="1:12" ht="15" customHeight="1">
      <c r="A39" s="62" t="s">
        <v>205</v>
      </c>
      <c r="B39" s="58" t="s">
        <v>60</v>
      </c>
      <c r="C39" s="58" t="s">
        <v>94</v>
      </c>
      <c r="D39" s="58" t="s">
        <v>12</v>
      </c>
      <c r="E39" s="58" t="s">
        <v>206</v>
      </c>
      <c r="F39" s="58" t="s">
        <v>102</v>
      </c>
      <c r="G39" s="58" t="s">
        <v>207</v>
      </c>
      <c r="H39" s="61"/>
      <c r="I39" s="58"/>
      <c r="J39" s="65" t="s">
        <v>208</v>
      </c>
      <c r="K39" s="58">
        <v>0.25</v>
      </c>
      <c r="L39" t="s">
        <v>74</v>
      </c>
    </row>
    <row r="40" spans="1:12" ht="15" customHeight="1">
      <c r="A40" s="62" t="s">
        <v>209</v>
      </c>
      <c r="B40" s="58" t="s">
        <v>60</v>
      </c>
      <c r="C40" s="58" t="s">
        <v>94</v>
      </c>
      <c r="D40" s="58" t="s">
        <v>40</v>
      </c>
      <c r="E40" s="58" t="s">
        <v>210</v>
      </c>
      <c r="F40" s="58" t="s">
        <v>102</v>
      </c>
      <c r="G40" s="58" t="s">
        <v>189</v>
      </c>
      <c r="H40" s="61"/>
      <c r="I40" s="58"/>
      <c r="J40" s="65" t="s">
        <v>211</v>
      </c>
      <c r="K40" s="58">
        <v>0.2</v>
      </c>
      <c r="L40" t="s">
        <v>73</v>
      </c>
    </row>
    <row r="41" spans="1:12" ht="15" customHeight="1">
      <c r="A41" s="43" t="s">
        <v>212</v>
      </c>
      <c r="B41" s="10" t="s">
        <v>60</v>
      </c>
      <c r="C41" s="10" t="s">
        <v>94</v>
      </c>
      <c r="D41" s="10" t="s">
        <v>40</v>
      </c>
      <c r="E41" s="10" t="s">
        <v>213</v>
      </c>
      <c r="F41" s="10" t="s">
        <v>96</v>
      </c>
      <c r="G41" s="10" t="s">
        <v>214</v>
      </c>
      <c r="H41" s="59"/>
      <c r="I41" s="10"/>
      <c r="J41" s="64" t="s">
        <v>215</v>
      </c>
      <c r="K41" s="10">
        <v>0.25</v>
      </c>
      <c r="L41" t="s">
        <v>74</v>
      </c>
    </row>
    <row r="42" spans="1:12" ht="15" customHeight="1">
      <c r="A42" s="43" t="s">
        <v>216</v>
      </c>
      <c r="B42" s="10" t="s">
        <v>66</v>
      </c>
      <c r="C42" s="10" t="s">
        <v>94</v>
      </c>
      <c r="D42" s="10" t="s">
        <v>21</v>
      </c>
      <c r="E42" s="10" t="s">
        <v>217</v>
      </c>
      <c r="F42" s="10" t="s">
        <v>96</v>
      </c>
      <c r="G42" s="10"/>
      <c r="H42" s="59"/>
      <c r="I42" s="10" t="s">
        <v>218</v>
      </c>
      <c r="J42" s="10"/>
      <c r="K42" s="10">
        <v>0.5</v>
      </c>
      <c r="L42" t="s">
        <v>74</v>
      </c>
    </row>
    <row r="43" spans="1:12" ht="15" customHeight="1">
      <c r="A43" s="62" t="s">
        <v>219</v>
      </c>
      <c r="B43" s="58" t="s">
        <v>60</v>
      </c>
      <c r="C43" s="58" t="s">
        <v>94</v>
      </c>
      <c r="D43" s="58" t="s">
        <v>40</v>
      </c>
      <c r="E43" s="58" t="s">
        <v>220</v>
      </c>
      <c r="F43" s="58" t="s">
        <v>102</v>
      </c>
      <c r="G43" s="58" t="s">
        <v>189</v>
      </c>
      <c r="H43" s="61"/>
      <c r="I43" s="58"/>
      <c r="J43" s="65" t="s">
        <v>221</v>
      </c>
      <c r="K43" s="58">
        <v>0.25</v>
      </c>
      <c r="L43" t="s">
        <v>73</v>
      </c>
    </row>
    <row r="44" spans="1:12" ht="15" customHeight="1">
      <c r="A44" s="62" t="s">
        <v>222</v>
      </c>
      <c r="B44" s="58" t="s">
        <v>60</v>
      </c>
      <c r="C44" s="58" t="s">
        <v>94</v>
      </c>
      <c r="D44" s="58" t="s">
        <v>45</v>
      </c>
      <c r="E44" s="58" t="s">
        <v>223</v>
      </c>
      <c r="F44" s="58" t="s">
        <v>102</v>
      </c>
      <c r="G44" s="58" t="s">
        <v>224</v>
      </c>
      <c r="H44" s="61"/>
      <c r="I44" s="58"/>
      <c r="J44" s="65" t="s">
        <v>103</v>
      </c>
      <c r="K44" s="58">
        <v>0.01</v>
      </c>
      <c r="L44" t="s">
        <v>73</v>
      </c>
    </row>
    <row r="45" spans="1:12" ht="15" customHeight="1">
      <c r="A45" s="112" t="s">
        <v>225</v>
      </c>
      <c r="B45" s="10" t="s">
        <v>60</v>
      </c>
      <c r="C45" s="10" t="s">
        <v>94</v>
      </c>
      <c r="D45" s="10" t="s">
        <v>12</v>
      </c>
      <c r="E45" s="10" t="s">
        <v>189</v>
      </c>
      <c r="F45" s="10" t="s">
        <v>96</v>
      </c>
      <c r="G45" s="10" t="s">
        <v>189</v>
      </c>
      <c r="H45" s="59" t="s">
        <v>98</v>
      </c>
      <c r="I45" s="10"/>
      <c r="J45" s="10"/>
      <c r="K45" s="10">
        <v>0</v>
      </c>
      <c r="L45" t="s">
        <v>73</v>
      </c>
    </row>
    <row r="46" spans="1:12" ht="15" customHeight="1">
      <c r="A46" s="43" t="s">
        <v>226</v>
      </c>
      <c r="B46" s="10" t="s">
        <v>66</v>
      </c>
      <c r="C46" s="10" t="s">
        <v>94</v>
      </c>
      <c r="D46" s="10" t="s">
        <v>21</v>
      </c>
      <c r="E46" s="10" t="s">
        <v>227</v>
      </c>
      <c r="F46" s="10" t="s">
        <v>96</v>
      </c>
      <c r="G46" s="10"/>
      <c r="H46" s="59" t="s">
        <v>98</v>
      </c>
      <c r="I46" s="10"/>
      <c r="J46" s="63" t="s">
        <v>142</v>
      </c>
      <c r="K46" s="10">
        <v>0.2</v>
      </c>
      <c r="L46" t="s">
        <v>75</v>
      </c>
    </row>
    <row r="47" spans="1:12" ht="15" customHeight="1">
      <c r="A47" s="43" t="s">
        <v>228</v>
      </c>
      <c r="B47" s="10" t="s">
        <v>66</v>
      </c>
      <c r="C47" s="10" t="s">
        <v>94</v>
      </c>
      <c r="D47" s="10" t="s">
        <v>20</v>
      </c>
      <c r="E47" s="10" t="s">
        <v>229</v>
      </c>
      <c r="F47" s="10" t="s">
        <v>96</v>
      </c>
      <c r="G47" s="10"/>
      <c r="H47" s="59" t="s">
        <v>98</v>
      </c>
      <c r="I47" s="10" t="s">
        <v>230</v>
      </c>
      <c r="J47" s="64" t="s">
        <v>231</v>
      </c>
      <c r="K47" s="10">
        <v>0.25</v>
      </c>
      <c r="L47" t="s">
        <v>75</v>
      </c>
    </row>
    <row r="48" spans="1:12" ht="15" customHeight="1">
      <c r="A48" s="62" t="s">
        <v>145</v>
      </c>
      <c r="B48" s="58" t="s">
        <v>60</v>
      </c>
      <c r="C48" s="58" t="s">
        <v>94</v>
      </c>
      <c r="D48" s="58" t="s">
        <v>12</v>
      </c>
      <c r="E48" s="58" t="s">
        <v>232</v>
      </c>
      <c r="F48" s="58" t="s">
        <v>102</v>
      </c>
      <c r="G48" s="58"/>
      <c r="H48" s="61" t="s">
        <v>98</v>
      </c>
      <c r="I48" s="58"/>
      <c r="J48" s="65" t="s">
        <v>103</v>
      </c>
      <c r="K48" s="58">
        <v>0.01</v>
      </c>
      <c r="L48" t="s">
        <v>73</v>
      </c>
    </row>
    <row r="49" spans="1:12" ht="15" customHeight="1">
      <c r="A49" s="43" t="s">
        <v>233</v>
      </c>
      <c r="B49" s="10" t="s">
        <v>66</v>
      </c>
      <c r="C49" s="10" t="s">
        <v>94</v>
      </c>
      <c r="D49" s="10" t="s">
        <v>21</v>
      </c>
      <c r="E49" s="10" t="s">
        <v>234</v>
      </c>
      <c r="F49" s="10" t="s">
        <v>96</v>
      </c>
      <c r="G49" s="10"/>
      <c r="H49" s="59" t="s">
        <v>98</v>
      </c>
      <c r="I49" s="10"/>
      <c r="J49" s="64" t="s">
        <v>235</v>
      </c>
      <c r="K49" s="10">
        <v>0.1</v>
      </c>
      <c r="L49" t="s">
        <v>75</v>
      </c>
    </row>
    <row r="50" spans="1:12" ht="15" customHeight="1">
      <c r="A50" s="43" t="s">
        <v>236</v>
      </c>
      <c r="B50" s="10" t="s">
        <v>66</v>
      </c>
      <c r="C50" s="10" t="s">
        <v>94</v>
      </c>
      <c r="D50" s="10" t="s">
        <v>237</v>
      </c>
      <c r="E50" s="10" t="s">
        <v>238</v>
      </c>
      <c r="F50" s="10" t="s">
        <v>96</v>
      </c>
      <c r="G50" s="10" t="s">
        <v>239</v>
      </c>
      <c r="H50" s="59" t="s">
        <v>98</v>
      </c>
      <c r="I50" s="10" t="s">
        <v>240</v>
      </c>
      <c r="J50" s="64" t="s">
        <v>241</v>
      </c>
      <c r="K50" s="10">
        <v>0.25</v>
      </c>
      <c r="L50" t="s">
        <v>75</v>
      </c>
    </row>
    <row r="51" spans="1:12" ht="15" customHeight="1">
      <c r="A51" s="62" t="s">
        <v>242</v>
      </c>
      <c r="B51" s="58" t="s">
        <v>60</v>
      </c>
      <c r="C51" s="58" t="s">
        <v>94</v>
      </c>
      <c r="D51" s="58" t="s">
        <v>12</v>
      </c>
      <c r="E51" s="58" t="s">
        <v>243</v>
      </c>
      <c r="F51" s="58" t="s">
        <v>102</v>
      </c>
      <c r="G51" s="58" t="s">
        <v>244</v>
      </c>
      <c r="H51" s="61" t="s">
        <v>98</v>
      </c>
      <c r="I51" s="58"/>
      <c r="J51" s="65" t="s">
        <v>103</v>
      </c>
      <c r="K51" s="58">
        <v>0.01</v>
      </c>
      <c r="L51" t="s">
        <v>73</v>
      </c>
    </row>
    <row r="52" spans="1:12" ht="15" customHeight="1">
      <c r="A52" s="62" t="s">
        <v>245</v>
      </c>
      <c r="B52" s="58" t="s">
        <v>60</v>
      </c>
      <c r="C52" s="58" t="s">
        <v>94</v>
      </c>
      <c r="D52" s="58" t="s">
        <v>12</v>
      </c>
      <c r="E52" s="58" t="s">
        <v>246</v>
      </c>
      <c r="F52" s="58" t="s">
        <v>102</v>
      </c>
      <c r="G52" s="58"/>
      <c r="H52" s="61"/>
      <c r="I52" s="58"/>
      <c r="J52" s="65" t="s">
        <v>103</v>
      </c>
      <c r="K52" s="58">
        <v>0.01</v>
      </c>
      <c r="L52" t="s">
        <v>73</v>
      </c>
    </row>
    <row r="53" spans="1:12" ht="15" customHeight="1">
      <c r="A53" s="43" t="s">
        <v>247</v>
      </c>
      <c r="B53" s="10" t="s">
        <v>60</v>
      </c>
      <c r="C53" s="10" t="s">
        <v>94</v>
      </c>
      <c r="D53" s="10" t="s">
        <v>248</v>
      </c>
      <c r="E53" s="10" t="s">
        <v>249</v>
      </c>
      <c r="F53" s="10" t="s">
        <v>96</v>
      </c>
      <c r="G53" s="10" t="s">
        <v>250</v>
      </c>
      <c r="H53" s="59" t="s">
        <v>98</v>
      </c>
      <c r="I53" s="10"/>
      <c r="J53" s="64" t="s">
        <v>251</v>
      </c>
      <c r="K53" s="10">
        <v>0.5</v>
      </c>
      <c r="L53" t="s">
        <v>75</v>
      </c>
    </row>
    <row r="54" spans="1:12" ht="15" customHeight="1">
      <c r="A54" s="62" t="s">
        <v>252</v>
      </c>
      <c r="B54" s="58" t="s">
        <v>60</v>
      </c>
      <c r="C54" s="58" t="s">
        <v>94</v>
      </c>
      <c r="D54" s="58" t="s">
        <v>248</v>
      </c>
      <c r="E54" s="58" t="s">
        <v>253</v>
      </c>
      <c r="F54" s="58" t="s">
        <v>102</v>
      </c>
      <c r="G54" s="58" t="s">
        <v>254</v>
      </c>
      <c r="H54" s="61"/>
      <c r="I54" s="58"/>
      <c r="J54" s="65" t="s">
        <v>103</v>
      </c>
      <c r="K54" s="58">
        <v>0.01</v>
      </c>
      <c r="L54" t="s">
        <v>73</v>
      </c>
    </row>
    <row r="55" spans="1:12" ht="15" customHeight="1">
      <c r="A55" s="62" t="s">
        <v>255</v>
      </c>
      <c r="B55" s="58" t="s">
        <v>60</v>
      </c>
      <c r="C55" s="58" t="s">
        <v>94</v>
      </c>
      <c r="D55" s="58" t="s">
        <v>12</v>
      </c>
      <c r="E55" s="58" t="s">
        <v>256</v>
      </c>
      <c r="F55" s="58" t="s">
        <v>102</v>
      </c>
      <c r="G55" s="58" t="s">
        <v>257</v>
      </c>
      <c r="H55" s="61"/>
      <c r="I55" s="58"/>
      <c r="J55" s="65" t="s">
        <v>103</v>
      </c>
      <c r="K55" s="58">
        <v>0.01</v>
      </c>
      <c r="L55" t="s">
        <v>73</v>
      </c>
    </row>
    <row r="56" spans="1:12" ht="15" customHeight="1">
      <c r="A56" s="62" t="s">
        <v>258</v>
      </c>
      <c r="B56" s="58" t="s">
        <v>60</v>
      </c>
      <c r="C56" s="58" t="s">
        <v>94</v>
      </c>
      <c r="D56" s="58" t="s">
        <v>12</v>
      </c>
      <c r="E56" s="58" t="s">
        <v>259</v>
      </c>
      <c r="F56" s="58" t="s">
        <v>102</v>
      </c>
      <c r="G56" s="58" t="s">
        <v>260</v>
      </c>
      <c r="H56" s="61"/>
      <c r="I56" s="58"/>
      <c r="J56" s="65" t="s">
        <v>103</v>
      </c>
      <c r="K56" s="58">
        <v>0.01</v>
      </c>
      <c r="L56" t="s">
        <v>73</v>
      </c>
    </row>
    <row r="57" spans="1:12" ht="15" customHeight="1">
      <c r="A57" s="43" t="s">
        <v>261</v>
      </c>
      <c r="B57" s="10" t="s">
        <v>60</v>
      </c>
      <c r="C57" s="10" t="s">
        <v>94</v>
      </c>
      <c r="D57" s="10" t="s">
        <v>12</v>
      </c>
      <c r="E57" s="10" t="s">
        <v>262</v>
      </c>
      <c r="F57" s="10" t="s">
        <v>96</v>
      </c>
      <c r="G57" s="10" t="s">
        <v>263</v>
      </c>
      <c r="H57" s="59"/>
      <c r="I57" s="10"/>
      <c r="J57" s="64" t="s">
        <v>264</v>
      </c>
      <c r="K57" s="10">
        <v>0.2</v>
      </c>
      <c r="L57" t="s">
        <v>75</v>
      </c>
    </row>
    <row r="58" spans="1:12" ht="15" customHeight="1">
      <c r="A58" s="62" t="s">
        <v>265</v>
      </c>
      <c r="B58" s="58" t="s">
        <v>60</v>
      </c>
      <c r="C58" s="58" t="s">
        <v>94</v>
      </c>
      <c r="D58" s="58" t="s">
        <v>12</v>
      </c>
      <c r="E58" s="58" t="s">
        <v>266</v>
      </c>
      <c r="F58" s="58" t="s">
        <v>102</v>
      </c>
      <c r="G58" s="58" t="s">
        <v>267</v>
      </c>
      <c r="H58" s="61" t="s">
        <v>98</v>
      </c>
      <c r="I58" s="58"/>
      <c r="J58" s="65" t="s">
        <v>103</v>
      </c>
      <c r="K58" s="58">
        <v>0.01</v>
      </c>
      <c r="L58" t="s">
        <v>73</v>
      </c>
    </row>
    <row r="59" spans="1:12" ht="15" customHeight="1">
      <c r="A59" s="62" t="s">
        <v>268</v>
      </c>
      <c r="B59" s="58" t="s">
        <v>60</v>
      </c>
      <c r="C59" s="58" t="s">
        <v>94</v>
      </c>
      <c r="D59" s="58" t="s">
        <v>12</v>
      </c>
      <c r="E59" s="58" t="s">
        <v>269</v>
      </c>
      <c r="F59" s="58" t="s">
        <v>102</v>
      </c>
      <c r="G59" s="58" t="s">
        <v>247</v>
      </c>
      <c r="H59" s="61" t="s">
        <v>98</v>
      </c>
      <c r="I59" s="58"/>
      <c r="J59" s="65" t="s">
        <v>103</v>
      </c>
      <c r="K59" s="58">
        <v>0.01</v>
      </c>
      <c r="L59" t="s">
        <v>73</v>
      </c>
    </row>
    <row r="60" spans="1:12" ht="15" customHeight="1">
      <c r="A60" s="43" t="s">
        <v>270</v>
      </c>
      <c r="B60" s="10" t="s">
        <v>66</v>
      </c>
      <c r="C60" s="10" t="s">
        <v>94</v>
      </c>
      <c r="D60" s="10" t="s">
        <v>21</v>
      </c>
      <c r="E60" s="10" t="s">
        <v>271</v>
      </c>
      <c r="F60" s="10" t="s">
        <v>96</v>
      </c>
      <c r="G60" s="10"/>
      <c r="H60" s="59" t="s">
        <v>98</v>
      </c>
      <c r="I60" s="10"/>
      <c r="J60" s="64" t="s">
        <v>106</v>
      </c>
      <c r="K60" s="10">
        <v>0.1</v>
      </c>
      <c r="L60" t="s">
        <v>75</v>
      </c>
    </row>
    <row r="61" spans="1:12" ht="15" customHeight="1">
      <c r="A61" s="62" t="s">
        <v>272</v>
      </c>
      <c r="B61" s="58" t="s">
        <v>60</v>
      </c>
      <c r="C61" s="58" t="s">
        <v>94</v>
      </c>
      <c r="D61" s="58" t="s">
        <v>45</v>
      </c>
      <c r="E61" s="58" t="s">
        <v>273</v>
      </c>
      <c r="F61" s="58" t="s">
        <v>102</v>
      </c>
      <c r="G61" s="58" t="s">
        <v>274</v>
      </c>
      <c r="H61" s="61"/>
      <c r="I61" s="58"/>
      <c r="J61" s="65" t="s">
        <v>103</v>
      </c>
      <c r="K61" s="58">
        <v>0.01</v>
      </c>
      <c r="L61" t="s">
        <v>73</v>
      </c>
    </row>
    <row r="62" spans="1:12" ht="15" customHeight="1">
      <c r="A62" s="62" t="s">
        <v>275</v>
      </c>
      <c r="B62" s="58" t="s">
        <v>60</v>
      </c>
      <c r="C62" s="58" t="s">
        <v>94</v>
      </c>
      <c r="D62" s="58" t="s">
        <v>12</v>
      </c>
      <c r="E62" s="58" t="s">
        <v>276</v>
      </c>
      <c r="F62" s="58" t="s">
        <v>102</v>
      </c>
      <c r="G62" s="58" t="s">
        <v>145</v>
      </c>
      <c r="H62" s="61"/>
      <c r="I62" s="58"/>
      <c r="J62" s="65" t="s">
        <v>103</v>
      </c>
      <c r="K62" s="58">
        <v>0.01</v>
      </c>
      <c r="L62" t="s">
        <v>73</v>
      </c>
    </row>
    <row r="63" spans="1:12" ht="15" customHeight="1">
      <c r="A63" s="62" t="s">
        <v>277</v>
      </c>
      <c r="B63" s="58" t="s">
        <v>66</v>
      </c>
      <c r="C63" s="58" t="s">
        <v>94</v>
      </c>
      <c r="D63" s="58" t="s">
        <v>12</v>
      </c>
      <c r="E63" s="58" t="s">
        <v>278</v>
      </c>
      <c r="F63" s="58" t="s">
        <v>102</v>
      </c>
      <c r="G63" s="58" t="s">
        <v>279</v>
      </c>
      <c r="H63" s="61" t="s">
        <v>98</v>
      </c>
      <c r="I63" s="58" t="s">
        <v>280</v>
      </c>
      <c r="J63" s="65" t="s">
        <v>231</v>
      </c>
      <c r="K63" s="58">
        <v>0.25</v>
      </c>
      <c r="L63" t="s">
        <v>75</v>
      </c>
    </row>
    <row r="64" spans="1:12" ht="15" customHeight="1">
      <c r="A64" s="43" t="s">
        <v>281</v>
      </c>
      <c r="B64" s="10" t="s">
        <v>66</v>
      </c>
      <c r="C64" s="10" t="s">
        <v>94</v>
      </c>
      <c r="D64" s="10" t="s">
        <v>237</v>
      </c>
      <c r="E64" s="10" t="s">
        <v>282</v>
      </c>
      <c r="F64" s="10" t="s">
        <v>96</v>
      </c>
      <c r="G64" s="10" t="s">
        <v>283</v>
      </c>
      <c r="H64" s="59" t="s">
        <v>98</v>
      </c>
      <c r="I64" s="10"/>
      <c r="J64" s="63" t="s">
        <v>284</v>
      </c>
      <c r="K64" s="10">
        <v>0.25</v>
      </c>
      <c r="L64" t="s">
        <v>75</v>
      </c>
    </row>
    <row r="65" spans="1:12" ht="15" customHeight="1">
      <c r="A65" s="62" t="s">
        <v>285</v>
      </c>
      <c r="B65" s="58" t="s">
        <v>66</v>
      </c>
      <c r="C65" s="58" t="s">
        <v>94</v>
      </c>
      <c r="D65" s="58" t="s">
        <v>21</v>
      </c>
      <c r="E65" s="58" t="s">
        <v>286</v>
      </c>
      <c r="F65" s="58" t="s">
        <v>102</v>
      </c>
      <c r="G65" s="58" t="s">
        <v>287</v>
      </c>
      <c r="H65" s="61"/>
      <c r="I65" s="58"/>
      <c r="J65" s="93" t="s">
        <v>103</v>
      </c>
      <c r="K65" s="58">
        <v>0.01</v>
      </c>
      <c r="L65" t="s">
        <v>73</v>
      </c>
    </row>
    <row r="66" spans="1:12" ht="15" customHeight="1">
      <c r="A66" s="43" t="s">
        <v>288</v>
      </c>
      <c r="B66" s="10" t="s">
        <v>62</v>
      </c>
      <c r="C66" s="10" t="s">
        <v>94</v>
      </c>
      <c r="D66" s="10" t="s">
        <v>113</v>
      </c>
      <c r="E66" s="10" t="s">
        <v>289</v>
      </c>
      <c r="F66" s="10" t="s">
        <v>96</v>
      </c>
      <c r="G66" s="10" t="s">
        <v>290</v>
      </c>
      <c r="H66" s="59"/>
      <c r="I66" s="10"/>
      <c r="J66" s="63" t="s">
        <v>291</v>
      </c>
      <c r="K66" s="10">
        <v>0.2</v>
      </c>
      <c r="L66" t="s">
        <v>74</v>
      </c>
    </row>
    <row r="67" spans="1:12" ht="15" customHeight="1">
      <c r="A67" s="43" t="s">
        <v>292</v>
      </c>
      <c r="B67" s="10" t="s">
        <v>66</v>
      </c>
      <c r="C67" s="10" t="s">
        <v>94</v>
      </c>
      <c r="D67" s="10" t="s">
        <v>21</v>
      </c>
      <c r="E67" s="10" t="s">
        <v>293</v>
      </c>
      <c r="F67" s="10" t="s">
        <v>96</v>
      </c>
      <c r="G67" s="10"/>
      <c r="H67" s="59" t="s">
        <v>98</v>
      </c>
      <c r="I67" s="10"/>
      <c r="J67" s="63" t="s">
        <v>235</v>
      </c>
      <c r="K67" s="10">
        <v>0.1</v>
      </c>
      <c r="L67" t="s">
        <v>75</v>
      </c>
    </row>
    <row r="68" spans="1:12" ht="15" customHeight="1">
      <c r="A68" s="108"/>
      <c r="B68" s="109"/>
      <c r="C68" s="109"/>
      <c r="D68" s="109"/>
      <c r="E68" s="109"/>
      <c r="F68" s="109"/>
      <c r="G68" s="109"/>
      <c r="H68" s="110"/>
      <c r="I68" s="109"/>
      <c r="J68" s="111"/>
      <c r="K68" s="109"/>
    </row>
  </sheetData>
  <autoFilter ref="A3:L64" xr:uid="{2FBCFC20-A3CE-4A0F-8D25-9C0F947942D5}">
    <sortState xmlns:xlrd2="http://schemas.microsoft.com/office/spreadsheetml/2017/richdata2" ref="A4:L67">
      <sortCondition ref="A3:A64"/>
    </sortState>
  </autoFilter>
  <hyperlinks>
    <hyperlink ref="A4" location="address!A1" display="address" xr:uid="{13E5E29F-2E8C-4E58-9118-F3F86DAE23A2}"/>
    <hyperlink ref="A5" location="'address_type'!A1" display="address_type" xr:uid="{E8954039-D6E5-4E83-AAA5-C61C05C84FED}"/>
    <hyperlink ref="A10" location="'client'!A1" display="client" xr:uid="{08C24464-9B3F-4793-84BC-CE4275E838CD}"/>
    <hyperlink ref="A16" location="'client_sector'!A1" display="client_sector" xr:uid="{8E079A39-38E5-4807-869F-D7FE9BB7273A}"/>
    <hyperlink ref="A12" location="client_matter_billing!A1" display="client_matter_billing" xr:uid="{2A8FC3BD-BA65-4219-B95F-398F7F134693}"/>
    <hyperlink ref="A14" location="client_member_firm!A1" display="client_member_firm" xr:uid="{E8CA0FB6-B6A1-4DB6-BBE0-AB6CC268DCB4}"/>
    <hyperlink ref="A15" location="client_relationship!A1" display="client_relationship" xr:uid="{8B295C7E-4399-4B51-A0AA-BC51A9E8EAB4}"/>
    <hyperlink ref="A17" location="client_status!A1" display="client_status" xr:uid="{92672A42-0ACC-4716-9A11-823CB0F244FB}"/>
    <hyperlink ref="A19" location="cost_centre!A1" display="cost_centre" xr:uid="{6878C2D9-3F24-42E9-8FF8-5434EC32B0FD}"/>
    <hyperlink ref="A20" location="country!A1" display="country" xr:uid="{C43D6F06-5AE1-4506-BC3E-A9EABAD5197A}"/>
    <hyperlink ref="A23" location="email!A1" display="email" xr:uid="{832D92F3-7598-43FC-A6AF-992F485AA2FB}"/>
    <hyperlink ref="A24" location="email_type!A1" display="email_type" xr:uid="{03A318C2-9000-498C-8AB3-C7C8AD1F8976}"/>
    <hyperlink ref="A26" location="employee_sub_group!A1" display="employee_sub_group" xr:uid="{71D20AF5-3CB6-4A44-83E7-6368F09C9F43}"/>
    <hyperlink ref="A27" location="entity_type!A1" display="entity_type" xr:uid="{CE3A5923-E642-47F9-907E-786E67B2E5CF}"/>
    <hyperlink ref="A29" location="exchange_rate!A1" display="exchange_rate" xr:uid="{F4B39917-79FB-4141-9576-6AC3D3D6496E}"/>
    <hyperlink ref="A31" location="group!A1" display="group" xr:uid="{23A13039-0A7E-4F34-B92E-EB159A58C105}"/>
    <hyperlink ref="A33" location="matter!A1" display="matter" xr:uid="{9CEE8304-C255-4D43-B8EB-92C80B333B26}"/>
    <hyperlink ref="A46" location="'matter_sector'!A1" display="matter_sector" xr:uid="{719EA193-60A8-42B6-9B49-944D116F5636}"/>
    <hyperlink ref="A39" location="matter_office!A1" display="matter_office" xr:uid="{D5EB5511-7189-400A-8BB6-26418F085DFA}"/>
    <hyperlink ref="A40" location="matter_partner!A1" display="matter_partner" xr:uid="{5F054FDB-7FD0-46CE-8E74-80F9F9A6A45B}"/>
    <hyperlink ref="A43" location="matter_phase_set!A1" display="matter_phase_set" xr:uid="{5D545BA1-52A1-4058-9C40-55953267A45E}"/>
    <hyperlink ref="A44" location="matter_related_party!A1" display="matter_related_party" xr:uid="{3B591CE4-BA36-4709-8F99-67E3A174D475}"/>
    <hyperlink ref="A45" location="matter_relationship!A1" display="matter_relationship" xr:uid="{2A2937C0-61C3-4ACB-A465-F180E0BF2D4D}"/>
    <hyperlink ref="A47" location="matter_status!A1" display="matter_status" xr:uid="{EAEC9459-7953-48FB-B491-9000302B2990}"/>
    <hyperlink ref="A48" location="member_firm!A1" display="member_firm" xr:uid="{A63A6BC1-1484-4C70-B845-C73F361897F8}"/>
    <hyperlink ref="A49" location="nature_of_proceeding!A1" display="nature_of_proceeding" xr:uid="{E0FB7DA8-7A0F-4BDE-B299-14BD10D761CF}"/>
    <hyperlink ref="A50" location="office!A1" display="office" xr:uid="{73877FDD-BB5F-416E-9D40-87B3E3291564}"/>
    <hyperlink ref="A51" location="office_member_firm!A1" display="office_member_firm" xr:uid="{171A5261-7DE4-4A35-B31A-7818E5E34D2C}"/>
    <hyperlink ref="A52" location="org_category!A1" display="org_category" xr:uid="{AF8499BC-157F-4BAC-B9AA-BADFDC6FE61C}"/>
    <hyperlink ref="A53" location="person!A1" display="person" xr:uid="{606813B2-9926-452C-8460-4E939430B7B3}"/>
    <hyperlink ref="A54" location="person_assignment!A1" display="person_assignment" xr:uid="{2ACD3E1D-5C85-47CB-8289-816FB1C045CF}"/>
    <hyperlink ref="A55" location="person_cost_centre!A1" display="person_cost_centre" xr:uid="{C8F727E4-98B9-4FF0-9395-533232CBD90F}"/>
    <hyperlink ref="A56" location="person_locale!A1" display="person_locale" xr:uid="{F91E4DC9-187F-410D-8CB5-9EBE01196580}"/>
    <hyperlink ref="A57" location="person_relationship!A1" display="person_relationship" xr:uid="{83C1EAA7-976E-4ED2-9DE5-C0A2E222A207}"/>
    <hyperlink ref="A58" location="person_system_map!A1" display="person_system_map" xr:uid="{89E5F47D-11E3-45BD-A083-520FF7F684F3}"/>
    <hyperlink ref="A59" location="phone!A1" display="phone" xr:uid="{B1D96187-300D-4A53-8F4D-050D086E2717}"/>
    <hyperlink ref="A60" location="practice_group!A1" display="practice_group" xr:uid="{5FEF206B-7481-43E1-A8CB-DBCF1929C2D0}"/>
    <hyperlink ref="A61" location="related_party!A1" display="related_party" xr:uid="{53E5D72E-C4B6-4D86-965F-616C266087FD}"/>
    <hyperlink ref="A62" location="relationship_type!A1" display="relationship_type" xr:uid="{5DD1C146-271B-42FD-9EA2-0F485EA3D03B}"/>
    <hyperlink ref="A63" location="sub_team!A1" display="sub_team" xr:uid="{4FF3C62D-80CA-4384-84B7-90AA8C80D857}"/>
    <hyperlink ref="A64" location="team!A1" display="team" xr:uid="{D14C34EF-9287-4E70-9181-7DD732B4A683}"/>
    <hyperlink ref="A67" location="work_type!A1" display="work_type" xr:uid="{37E73BFB-2658-4918-9F10-25B4A8D3B5A5}"/>
    <hyperlink ref="A18" location="company!A1" display="company" xr:uid="{76103583-1C80-4B02-9B36-4193D037BFEA}"/>
    <hyperlink ref="A25" location="employee_group!A1" display="employee_group" xr:uid="{1467A2C5-D7DB-4D77-9993-C0DDAA2F4C2A}"/>
    <hyperlink ref="A7" location="band_level!A1" display="band_level" xr:uid="{365FBA19-20FB-4718-9610-A6749BB87998}"/>
    <hyperlink ref="A6" location="band_group!A1" display="band_group" xr:uid="{1EDE8216-963B-4564-9E0B-9301A138077D}"/>
    <hyperlink ref="A21" location="currency!A1" display="currency" xr:uid="{D07AEBF3-B181-4B41-AE1C-4916DCF43AF4}"/>
    <hyperlink ref="A32" location="language!A1" display="language" xr:uid="{B9426FCD-36AE-471B-A9AA-545FD13DA1F4}"/>
    <hyperlink ref="A30" location="global_strategic_initiative!A1" display="global_strategic_initiative" xr:uid="{4E8C5C4D-174E-4DFC-8323-38C08A449EC6}"/>
    <hyperlink ref="A13" location="client_matter_sic_relationship!A1" display="client_matter_sic_relationship" xr:uid="{8A6926B2-54B7-42B6-A3D6-48E6C6EF5A60}"/>
    <hyperlink ref="A65" location="team_practice_group_relationshi!A1" display="team_practice_group_relationship" xr:uid="{5B688F2D-C10F-4365-B6FD-C3972548BC43}"/>
    <hyperlink ref="A9" location="chronometrics!A1" display="chronometrics" xr:uid="{B9689AD8-9E43-4285-83C9-6177BE3FEA56}"/>
    <hyperlink ref="A66" location="tme!A1" display="tme" xr:uid="{AF62C498-AC91-483D-8F4A-5ED78899429D}"/>
    <hyperlink ref="A22" location="efi!A1" display="efi" xr:uid="{C8DE311C-7A80-4940-8EF2-8B47D2D76314}"/>
    <hyperlink ref="A11" location="client_financials!A1" display="client_financials" xr:uid="{BF5DEC2A-50B1-460F-9973-44A80293C0A7}"/>
    <hyperlink ref="A38" location="matter_financials!A1" display="matter_financials" xr:uid="{7986C1A1-CAC2-4E53-B555-D9AA015BFA46}"/>
    <hyperlink ref="A41" location="'matter_partner_allocation'!A1" display="matter_partner_allocation" xr:uid="{1D7B065B-93B4-4982-AD0B-0DBEC521CB5F}"/>
    <hyperlink ref="A8" location="'bill_type'!A1" display="bill_type" xr:uid="{8F774802-1D3E-4F9C-89C7-3F83DDFDEDCE}"/>
    <hyperlink ref="A28" location="'entry_classification'!A1" display="entry_classification" xr:uid="{05A5378E-183C-4E83-AC05-312044B19B02}"/>
    <hyperlink ref="A34" location="'matter_billing_frequency'!A1" display="matter_billing_frequency" xr:uid="{9110EABB-3CC2-43AA-A7C8-9E3B634B40FE}"/>
    <hyperlink ref="A35" location="'matter_billing_method'!A1" display="matter_billing_method" xr:uid="{4005CFA6-C127-458F-8992-284687503317}"/>
    <hyperlink ref="A36" location="'matter_category'!A1" display="matter_category" xr:uid="{C44A2636-A594-4B18-9F9D-21FBEE17433C}"/>
    <hyperlink ref="A37" location="'matter_entry_type'!A1" display="matter_entry_type" xr:uid="{D0708805-59B6-45EC-9528-F4D1A537D739}"/>
    <hyperlink ref="A42" location="'matter_partner_function'!A1" display="matter_partner_function" xr:uid="{979B5B1B-01E0-4616-9BB5-A7B2689B6C4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4585C-53C0-45EA-9479-6823D9BEDF82}">
  <dimension ref="A27:A29"/>
  <sheetViews>
    <sheetView workbookViewId="0"/>
  </sheetViews>
  <sheetFormatPr defaultRowHeight="14.45"/>
  <sheetData>
    <row r="27" spans="1:1">
      <c r="A27" s="21" t="s">
        <v>294</v>
      </c>
    </row>
    <row r="28" spans="1:1">
      <c r="A28" t="s">
        <v>295</v>
      </c>
    </row>
    <row r="29" spans="1:1">
      <c r="A29" t="s">
        <v>296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A3E16-3F6A-40C6-A342-CC3306CE4874}">
  <dimension ref="A1"/>
  <sheetViews>
    <sheetView workbookViewId="0">
      <selection activeCell="W30" sqref="W30"/>
    </sheetView>
  </sheetViews>
  <sheetFormatPr defaultRowHeight="14.4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E1AA3-60B8-4C7A-929D-74ED64D8F092}">
  <dimension ref="A1"/>
  <sheetViews>
    <sheetView workbookViewId="0">
      <selection activeCell="W26" sqref="W26"/>
    </sheetView>
  </sheetViews>
  <sheetFormatPr defaultRowHeight="14.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66CD7-6FAE-480C-A0FB-AB2298666126}">
  <sheetPr>
    <tabColor rgb="FF92D050"/>
  </sheetPr>
  <dimension ref="A1:R22"/>
  <sheetViews>
    <sheetView zoomScale="80" zoomScaleNormal="80" workbookViewId="0">
      <pane xSplit="1" ySplit="2" topLeftCell="B3" activePane="bottomRight" state="frozen"/>
      <selection pane="bottomRight"/>
      <selection pane="bottomLeft" activeCell="A3" sqref="A3"/>
      <selection pane="topRight" activeCell="B1" sqref="B1"/>
    </sheetView>
  </sheetViews>
  <sheetFormatPr defaultRowHeight="15" customHeight="1"/>
  <cols>
    <col min="1" max="1" width="34.28515625" customWidth="1"/>
    <col min="2" max="3" width="19.28515625" customWidth="1"/>
    <col min="4" max="4" width="27.42578125" customWidth="1"/>
    <col min="5" max="5" width="31.7109375" customWidth="1"/>
    <col min="6" max="6" width="26" customWidth="1"/>
    <col min="7" max="7" width="18" customWidth="1"/>
    <col min="8" max="8" width="17.42578125" customWidth="1"/>
    <col min="9" max="9" width="16.85546875" customWidth="1"/>
    <col min="10" max="10" width="44.7109375" customWidth="1"/>
    <col min="11" max="11" width="21.5703125" customWidth="1"/>
    <col min="12" max="12" width="25.42578125" customWidth="1"/>
    <col min="13" max="13" width="22" customWidth="1"/>
    <col min="14" max="14" width="20.42578125" customWidth="1"/>
    <col min="15" max="15" width="39.28515625" customWidth="1"/>
    <col min="16" max="16" width="18.28515625" bestFit="1" customWidth="1"/>
    <col min="17" max="17" width="40.5703125" bestFit="1" customWidth="1"/>
    <col min="18" max="18" width="38.28515625" bestFit="1" customWidth="1"/>
  </cols>
  <sheetData>
    <row r="1" spans="1:18" ht="76.5" customHeight="1">
      <c r="A1" s="1" t="s">
        <v>107</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318</v>
      </c>
      <c r="B3" s="6" t="s">
        <v>319</v>
      </c>
      <c r="C3" s="6"/>
      <c r="D3" s="6" t="s">
        <v>320</v>
      </c>
      <c r="E3" s="6" t="s">
        <v>108</v>
      </c>
      <c r="F3" s="6"/>
      <c r="G3" s="6"/>
      <c r="H3" s="6"/>
      <c r="I3" s="6" t="s">
        <v>98</v>
      </c>
      <c r="J3" s="6" t="s">
        <v>321</v>
      </c>
      <c r="K3" s="6"/>
      <c r="L3" s="6"/>
      <c r="M3" s="6">
        <v>-1</v>
      </c>
      <c r="N3" s="46"/>
      <c r="O3" s="7"/>
      <c r="P3" s="46">
        <v>1</v>
      </c>
      <c r="Q3" s="76" t="s">
        <v>322</v>
      </c>
      <c r="R3" t="s">
        <v>323</v>
      </c>
    </row>
    <row r="4" spans="1:18" ht="14.45">
      <c r="A4" s="9" t="s">
        <v>324</v>
      </c>
      <c r="B4" s="9" t="s">
        <v>325</v>
      </c>
      <c r="C4" s="9">
        <v>10</v>
      </c>
      <c r="D4" s="9" t="s">
        <v>21</v>
      </c>
      <c r="E4" s="9" t="s">
        <v>108</v>
      </c>
      <c r="F4" s="9" t="s">
        <v>326</v>
      </c>
      <c r="G4" s="9" t="s">
        <v>325</v>
      </c>
      <c r="H4" s="9">
        <v>255</v>
      </c>
      <c r="I4" s="9" t="s">
        <v>98</v>
      </c>
      <c r="J4" s="9"/>
      <c r="K4" s="9"/>
      <c r="L4" s="9"/>
      <c r="M4" s="9" t="s">
        <v>327</v>
      </c>
      <c r="N4" s="46"/>
      <c r="O4" s="7" t="s">
        <v>328</v>
      </c>
      <c r="P4" s="46">
        <v>2</v>
      </c>
      <c r="Q4" s="76" t="s">
        <v>329</v>
      </c>
      <c r="R4" t="s">
        <v>330</v>
      </c>
    </row>
    <row r="5" spans="1:18" ht="14.45">
      <c r="A5" s="7" t="s">
        <v>331</v>
      </c>
      <c r="B5" s="7" t="s">
        <v>325</v>
      </c>
      <c r="C5" s="7">
        <v>255</v>
      </c>
      <c r="D5" s="7" t="s">
        <v>21</v>
      </c>
      <c r="E5" s="7" t="s">
        <v>108</v>
      </c>
      <c r="F5" s="7" t="s">
        <v>332</v>
      </c>
      <c r="G5" s="7" t="s">
        <v>325</v>
      </c>
      <c r="H5" s="7">
        <v>255</v>
      </c>
      <c r="I5" s="7" t="s">
        <v>74</v>
      </c>
      <c r="J5" s="7"/>
      <c r="K5" s="7"/>
      <c r="L5" s="7"/>
      <c r="M5" s="7" t="s">
        <v>327</v>
      </c>
      <c r="N5" s="46"/>
      <c r="O5" s="7"/>
      <c r="P5" s="46">
        <v>3</v>
      </c>
      <c r="Q5" s="76" t="s">
        <v>333</v>
      </c>
      <c r="R5" t="s">
        <v>334</v>
      </c>
    </row>
    <row r="6" spans="1:18" ht="14.45">
      <c r="A6" s="7" t="s">
        <v>335</v>
      </c>
      <c r="B6" s="7" t="s">
        <v>325</v>
      </c>
      <c r="C6" s="7">
        <v>10</v>
      </c>
      <c r="D6" s="7" t="s">
        <v>21</v>
      </c>
      <c r="E6" s="7" t="s">
        <v>108</v>
      </c>
      <c r="F6" s="7" t="s">
        <v>336</v>
      </c>
      <c r="G6" s="7" t="s">
        <v>325</v>
      </c>
      <c r="H6" s="7">
        <v>255</v>
      </c>
      <c r="I6" s="7" t="s">
        <v>98</v>
      </c>
      <c r="J6" s="7"/>
      <c r="K6" s="7"/>
      <c r="L6" s="7"/>
      <c r="M6" s="7" t="s">
        <v>327</v>
      </c>
      <c r="N6" s="46"/>
      <c r="O6" s="7" t="s">
        <v>337</v>
      </c>
      <c r="P6" s="46">
        <v>4</v>
      </c>
      <c r="Q6" s="76" t="s">
        <v>338</v>
      </c>
      <c r="R6" t="s">
        <v>339</v>
      </c>
    </row>
    <row r="7" spans="1:18" ht="14.45">
      <c r="A7" s="7" t="s">
        <v>340</v>
      </c>
      <c r="B7" s="7" t="s">
        <v>325</v>
      </c>
      <c r="C7" s="7">
        <v>255</v>
      </c>
      <c r="D7" s="7" t="s">
        <v>21</v>
      </c>
      <c r="E7" s="7" t="s">
        <v>108</v>
      </c>
      <c r="F7" s="7" t="s">
        <v>341</v>
      </c>
      <c r="G7" s="7" t="s">
        <v>325</v>
      </c>
      <c r="H7" s="7">
        <v>255</v>
      </c>
      <c r="I7" s="7" t="s">
        <v>74</v>
      </c>
      <c r="J7" s="7"/>
      <c r="K7" s="7"/>
      <c r="L7" s="7"/>
      <c r="M7" s="7" t="s">
        <v>327</v>
      </c>
      <c r="N7" s="46"/>
      <c r="O7" s="7" t="s">
        <v>342</v>
      </c>
      <c r="P7" s="46">
        <v>5</v>
      </c>
      <c r="Q7" s="76" t="s">
        <v>343</v>
      </c>
      <c r="R7" t="s">
        <v>344</v>
      </c>
    </row>
    <row r="8" spans="1:18" ht="14.45">
      <c r="A8" s="7" t="s">
        <v>345</v>
      </c>
      <c r="B8" s="7" t="s">
        <v>346</v>
      </c>
      <c r="C8" s="7"/>
      <c r="D8" s="7" t="s">
        <v>21</v>
      </c>
      <c r="E8" s="7" t="s">
        <v>108</v>
      </c>
      <c r="F8" s="7" t="s">
        <v>347</v>
      </c>
      <c r="G8" s="7" t="s">
        <v>346</v>
      </c>
      <c r="H8" s="7"/>
      <c r="I8" s="7" t="s">
        <v>98</v>
      </c>
      <c r="J8" s="7"/>
      <c r="K8" s="7"/>
      <c r="L8" s="7"/>
      <c r="M8" s="7" t="b">
        <v>0</v>
      </c>
      <c r="N8" s="46"/>
      <c r="O8" s="7"/>
      <c r="P8" s="46">
        <v>6</v>
      </c>
      <c r="Q8" s="76" t="s">
        <v>348</v>
      </c>
      <c r="R8" t="s">
        <v>349</v>
      </c>
    </row>
    <row r="9" spans="1:18" ht="14.45">
      <c r="A9" s="8" t="s">
        <v>350</v>
      </c>
      <c r="B9" s="8" t="s">
        <v>351</v>
      </c>
      <c r="C9" s="8">
        <v>100</v>
      </c>
      <c r="D9" s="8" t="s">
        <v>320</v>
      </c>
      <c r="E9" s="8"/>
      <c r="F9" s="8"/>
      <c r="G9" s="8"/>
      <c r="H9" s="8"/>
      <c r="I9" s="8"/>
      <c r="J9" s="8"/>
      <c r="K9" s="8"/>
      <c r="L9" s="8"/>
      <c r="M9" s="8" t="s">
        <v>327</v>
      </c>
      <c r="N9" s="46"/>
      <c r="O9" s="7"/>
      <c r="P9" s="46">
        <v>7</v>
      </c>
      <c r="Q9" t="s">
        <v>352</v>
      </c>
      <c r="R9" t="s">
        <v>353</v>
      </c>
    </row>
    <row r="10" spans="1:18" ht="14.45">
      <c r="A10" s="8" t="s">
        <v>354</v>
      </c>
      <c r="B10" s="8" t="s">
        <v>351</v>
      </c>
      <c r="C10" s="8">
        <v>100</v>
      </c>
      <c r="D10" s="8" t="s">
        <v>320</v>
      </c>
      <c r="E10" s="8"/>
      <c r="F10" s="8"/>
      <c r="G10" s="8"/>
      <c r="H10" s="8"/>
      <c r="I10" s="8"/>
      <c r="J10" s="8"/>
      <c r="K10" s="8"/>
      <c r="L10" s="8"/>
      <c r="M10" s="8" t="s">
        <v>327</v>
      </c>
      <c r="N10" s="46"/>
      <c r="O10" s="7"/>
      <c r="P10" s="46">
        <v>8</v>
      </c>
      <c r="Q10" t="s">
        <v>355</v>
      </c>
      <c r="R10" t="s">
        <v>356</v>
      </c>
    </row>
    <row r="11" spans="1:18" ht="14.45">
      <c r="A11" s="8" t="s">
        <v>357</v>
      </c>
      <c r="B11" s="8" t="s">
        <v>351</v>
      </c>
      <c r="C11" s="8">
        <v>100</v>
      </c>
      <c r="D11" s="8" t="s">
        <v>320</v>
      </c>
      <c r="E11" s="8"/>
      <c r="F11" s="8"/>
      <c r="G11" s="8"/>
      <c r="H11" s="8"/>
      <c r="I11" s="8"/>
      <c r="J11" s="8"/>
      <c r="K11" s="8"/>
      <c r="L11" s="8"/>
      <c r="M11" s="8" t="s">
        <v>327</v>
      </c>
      <c r="N11" s="46"/>
      <c r="O11" s="7"/>
      <c r="P11" s="46">
        <v>9</v>
      </c>
      <c r="Q11" t="s">
        <v>358</v>
      </c>
      <c r="R11" t="s">
        <v>359</v>
      </c>
    </row>
    <row r="12" spans="1:18" ht="14.45">
      <c r="A12" s="8" t="s">
        <v>360</v>
      </c>
      <c r="B12" s="8" t="s">
        <v>351</v>
      </c>
      <c r="C12" s="8">
        <v>100</v>
      </c>
      <c r="D12" s="8" t="s">
        <v>320</v>
      </c>
      <c r="E12" s="8"/>
      <c r="F12" s="8"/>
      <c r="G12" s="8"/>
      <c r="H12" s="8"/>
      <c r="I12" s="8"/>
      <c r="J12" s="8"/>
      <c r="K12" s="8"/>
      <c r="L12" s="8"/>
      <c r="M12" s="8" t="s">
        <v>327</v>
      </c>
      <c r="N12" s="46"/>
      <c r="O12" s="7"/>
      <c r="P12" s="46">
        <v>10</v>
      </c>
      <c r="Q12" t="s">
        <v>361</v>
      </c>
      <c r="R12" t="s">
        <v>362</v>
      </c>
    </row>
    <row r="13" spans="1:18" ht="14.45">
      <c r="A13" s="8" t="s">
        <v>363</v>
      </c>
      <c r="B13" s="8" t="s">
        <v>351</v>
      </c>
      <c r="C13" s="8">
        <v>100</v>
      </c>
      <c r="D13" s="8" t="s">
        <v>320</v>
      </c>
      <c r="E13" s="8"/>
      <c r="F13" s="8"/>
      <c r="G13" s="8"/>
      <c r="H13" s="8"/>
      <c r="I13" s="8"/>
      <c r="J13" s="8"/>
      <c r="K13" s="8"/>
      <c r="L13" s="8"/>
      <c r="M13" s="8" t="s">
        <v>327</v>
      </c>
      <c r="N13" s="46"/>
      <c r="O13" s="7"/>
      <c r="P13" s="46">
        <v>11</v>
      </c>
      <c r="Q13" t="s">
        <v>364</v>
      </c>
      <c r="R13" t="s">
        <v>365</v>
      </c>
    </row>
    <row r="14" spans="1:18" ht="14.45">
      <c r="A14" s="8" t="s">
        <v>366</v>
      </c>
      <c r="B14" s="8" t="s">
        <v>367</v>
      </c>
      <c r="C14" s="8"/>
      <c r="D14" s="8" t="s">
        <v>320</v>
      </c>
      <c r="E14" s="8"/>
      <c r="F14" s="8"/>
      <c r="G14" s="8"/>
      <c r="H14" s="8"/>
      <c r="I14" s="8"/>
      <c r="J14" s="8"/>
      <c r="K14" s="8"/>
      <c r="L14" s="8"/>
      <c r="M14" s="8" t="s">
        <v>368</v>
      </c>
      <c r="N14" s="46"/>
      <c r="O14" s="7"/>
      <c r="P14" s="46">
        <v>12</v>
      </c>
      <c r="Q14" t="s">
        <v>369</v>
      </c>
      <c r="R14" t="s">
        <v>370</v>
      </c>
    </row>
    <row r="15" spans="1:18" ht="14.45">
      <c r="A15" s="8" t="s">
        <v>371</v>
      </c>
      <c r="B15" s="8" t="s">
        <v>367</v>
      </c>
      <c r="C15" s="8"/>
      <c r="D15" s="8" t="s">
        <v>320</v>
      </c>
      <c r="E15" s="8"/>
      <c r="F15" s="8"/>
      <c r="G15" s="8"/>
      <c r="H15" s="8"/>
      <c r="I15" s="8"/>
      <c r="J15" s="8"/>
      <c r="K15" s="8"/>
      <c r="L15" s="8"/>
      <c r="M15" s="8" t="s">
        <v>368</v>
      </c>
      <c r="N15" s="46"/>
      <c r="O15" s="7"/>
      <c r="P15" s="46">
        <v>13</v>
      </c>
      <c r="Q15" s="76" t="s">
        <v>372</v>
      </c>
      <c r="R15" t="s">
        <v>373</v>
      </c>
    </row>
    <row r="16" spans="1:18" ht="14.45">
      <c r="A16" s="8" t="s">
        <v>374</v>
      </c>
      <c r="B16" s="8" t="s">
        <v>351</v>
      </c>
      <c r="C16" s="8">
        <v>100</v>
      </c>
      <c r="D16" s="8" t="s">
        <v>320</v>
      </c>
      <c r="E16" s="8"/>
      <c r="F16" s="8"/>
      <c r="G16" s="8"/>
      <c r="H16" s="8"/>
      <c r="I16" s="8"/>
      <c r="J16" s="8"/>
      <c r="K16" s="8"/>
      <c r="L16" s="8"/>
      <c r="M16" s="8" t="s">
        <v>327</v>
      </c>
      <c r="N16" s="46"/>
      <c r="O16" s="7"/>
      <c r="P16" s="46">
        <v>14</v>
      </c>
      <c r="Q16" t="s">
        <v>375</v>
      </c>
      <c r="R16" t="s">
        <v>376</v>
      </c>
    </row>
    <row r="21" spans="1:3" ht="14.45">
      <c r="A21" s="21"/>
      <c r="B21" s="21"/>
      <c r="C21" s="21"/>
    </row>
    <row r="22" spans="1:3" ht="14.45">
      <c r="A22" s="35"/>
      <c r="B22" s="35"/>
      <c r="C22" s="3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1E1D0-4AB2-4642-A4E2-AB12C4DC0AF4}">
  <sheetPr>
    <tabColor rgb="FF92D050"/>
  </sheetPr>
  <dimension ref="A1:R20"/>
  <sheetViews>
    <sheetView workbookViewId="0">
      <pane xSplit="1" ySplit="2" topLeftCell="B3" activePane="bottomRight" state="frozen"/>
      <selection pane="bottomRight" activeCell="L12" sqref="L12"/>
      <selection pane="bottomLeft" activeCell="A3" sqref="A3"/>
      <selection pane="topRight" activeCell="B1" sqref="B1"/>
    </sheetView>
  </sheetViews>
  <sheetFormatPr defaultRowHeight="15" customHeight="1"/>
  <cols>
    <col min="1" max="1" width="36.85546875" customWidth="1"/>
    <col min="2" max="2" width="18.5703125" customWidth="1"/>
    <col min="3" max="3" width="16.42578125" customWidth="1"/>
    <col min="4" max="4" width="20.7109375" customWidth="1"/>
    <col min="5" max="5" width="31.5703125" customWidth="1"/>
    <col min="6" max="6" width="20.7109375" customWidth="1"/>
    <col min="7" max="9" width="15.7109375" customWidth="1"/>
    <col min="10" max="11" width="20.7109375" customWidth="1"/>
    <col min="12" max="12" width="32.7109375" customWidth="1"/>
    <col min="13" max="14" width="20.7109375" customWidth="1"/>
    <col min="17" max="17" width="38.28515625" bestFit="1" customWidth="1"/>
    <col min="18" max="18" width="32.28515625" bestFit="1" customWidth="1"/>
  </cols>
  <sheetData>
    <row r="1" spans="1:18" ht="60" customHeight="1">
      <c r="A1" s="1" t="s">
        <v>110</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377</v>
      </c>
      <c r="B3" s="6" t="s">
        <v>319</v>
      </c>
      <c r="C3" s="6"/>
      <c r="D3" s="6" t="s">
        <v>320</v>
      </c>
      <c r="E3" s="6"/>
      <c r="F3" s="6"/>
      <c r="G3" s="6"/>
      <c r="H3" s="6"/>
      <c r="I3" s="6" t="s">
        <v>98</v>
      </c>
      <c r="J3" s="6"/>
      <c r="K3" s="6"/>
      <c r="L3" s="6"/>
      <c r="M3" s="6">
        <v>-1</v>
      </c>
      <c r="N3" s="46"/>
      <c r="O3" s="7"/>
      <c r="P3" s="46">
        <v>1</v>
      </c>
      <c r="Q3" s="76" t="s">
        <v>378</v>
      </c>
      <c r="R3" t="s">
        <v>379</v>
      </c>
    </row>
    <row r="4" spans="1:18" ht="14.45">
      <c r="A4" s="9" t="s">
        <v>380</v>
      </c>
      <c r="B4" s="9" t="s">
        <v>351</v>
      </c>
      <c r="C4" s="9">
        <v>50</v>
      </c>
      <c r="D4" s="9" t="s">
        <v>21</v>
      </c>
      <c r="E4" s="9" t="s">
        <v>381</v>
      </c>
      <c r="F4" s="9" t="s">
        <v>382</v>
      </c>
      <c r="G4" s="9" t="s">
        <v>325</v>
      </c>
      <c r="H4" s="9">
        <v>255</v>
      </c>
      <c r="I4" s="9" t="s">
        <v>98</v>
      </c>
      <c r="J4" s="9"/>
      <c r="K4" s="9"/>
      <c r="L4" s="9" t="s">
        <v>383</v>
      </c>
      <c r="M4" s="9" t="s">
        <v>327</v>
      </c>
      <c r="N4" s="46"/>
      <c r="O4" s="7"/>
      <c r="P4" s="46">
        <v>2</v>
      </c>
      <c r="Q4" s="76" t="s">
        <v>384</v>
      </c>
      <c r="R4" t="s">
        <v>385</v>
      </c>
    </row>
    <row r="5" spans="1:18" ht="14.45">
      <c r="A5" s="7" t="s">
        <v>386</v>
      </c>
      <c r="B5" s="7" t="s">
        <v>351</v>
      </c>
      <c r="C5" s="7">
        <v>255</v>
      </c>
      <c r="D5" s="7" t="s">
        <v>21</v>
      </c>
      <c r="E5" s="7" t="s">
        <v>381</v>
      </c>
      <c r="F5" s="7" t="s">
        <v>3</v>
      </c>
      <c r="G5" s="7" t="s">
        <v>325</v>
      </c>
      <c r="H5" s="7">
        <v>255</v>
      </c>
      <c r="I5" s="7" t="s">
        <v>74</v>
      </c>
      <c r="J5" s="7"/>
      <c r="K5" s="7"/>
      <c r="L5" s="7"/>
      <c r="M5" s="7" t="s">
        <v>327</v>
      </c>
      <c r="N5" s="46"/>
      <c r="O5" s="7"/>
      <c r="P5" s="46">
        <v>3</v>
      </c>
      <c r="Q5" s="76" t="s">
        <v>387</v>
      </c>
      <c r="R5" t="s">
        <v>388</v>
      </c>
    </row>
    <row r="6" spans="1:18" ht="14.45">
      <c r="A6" s="7" t="s">
        <v>345</v>
      </c>
      <c r="B6" s="7" t="s">
        <v>346</v>
      </c>
      <c r="C6" s="7"/>
      <c r="D6" s="7" t="s">
        <v>21</v>
      </c>
      <c r="E6" s="7" t="s">
        <v>381</v>
      </c>
      <c r="F6" s="7" t="s">
        <v>347</v>
      </c>
      <c r="G6" s="7" t="s">
        <v>346</v>
      </c>
      <c r="H6" s="7"/>
      <c r="I6" s="7" t="s">
        <v>98</v>
      </c>
      <c r="J6" s="7"/>
      <c r="K6" s="7"/>
      <c r="L6" s="7"/>
      <c r="M6" s="7" t="b">
        <v>0</v>
      </c>
      <c r="N6" s="46"/>
      <c r="O6" s="7"/>
      <c r="P6" s="46">
        <v>4</v>
      </c>
      <c r="Q6" s="76" t="s">
        <v>389</v>
      </c>
      <c r="R6" t="s">
        <v>390</v>
      </c>
    </row>
    <row r="7" spans="1:18" ht="14.45">
      <c r="A7" s="8" t="s">
        <v>350</v>
      </c>
      <c r="B7" s="8" t="s">
        <v>351</v>
      </c>
      <c r="C7" s="8">
        <v>100</v>
      </c>
      <c r="D7" s="8" t="s">
        <v>320</v>
      </c>
      <c r="E7" s="8"/>
      <c r="F7" s="8"/>
      <c r="G7" s="8"/>
      <c r="H7" s="8"/>
      <c r="I7" s="8"/>
      <c r="J7" s="8"/>
      <c r="K7" s="8"/>
      <c r="L7" s="8"/>
      <c r="M7" s="8" t="s">
        <v>327</v>
      </c>
      <c r="N7" s="46"/>
      <c r="O7" s="7"/>
      <c r="P7" s="46">
        <v>5</v>
      </c>
      <c r="Q7" t="s">
        <v>391</v>
      </c>
      <c r="R7" t="s">
        <v>392</v>
      </c>
    </row>
    <row r="8" spans="1:18" ht="14.45">
      <c r="A8" s="8" t="s">
        <v>354</v>
      </c>
      <c r="B8" s="8" t="s">
        <v>351</v>
      </c>
      <c r="C8" s="8">
        <v>100</v>
      </c>
      <c r="D8" s="8" t="s">
        <v>320</v>
      </c>
      <c r="E8" s="8"/>
      <c r="F8" s="8"/>
      <c r="G8" s="8"/>
      <c r="H8" s="8"/>
      <c r="I8" s="8"/>
      <c r="J8" s="8"/>
      <c r="K8" s="8"/>
      <c r="L8" s="8"/>
      <c r="M8" s="8" t="s">
        <v>327</v>
      </c>
      <c r="N8" s="46"/>
      <c r="O8" s="7"/>
      <c r="P8" s="46">
        <v>6</v>
      </c>
      <c r="Q8" t="s">
        <v>393</v>
      </c>
      <c r="R8" t="s">
        <v>394</v>
      </c>
    </row>
    <row r="9" spans="1:18" ht="14.45">
      <c r="A9" s="8" t="s">
        <v>357</v>
      </c>
      <c r="B9" s="8" t="s">
        <v>351</v>
      </c>
      <c r="C9" s="8">
        <v>100</v>
      </c>
      <c r="D9" s="8" t="s">
        <v>320</v>
      </c>
      <c r="E9" s="8"/>
      <c r="F9" s="8"/>
      <c r="G9" s="8"/>
      <c r="H9" s="8"/>
      <c r="I9" s="8"/>
      <c r="J9" s="8"/>
      <c r="K9" s="8"/>
      <c r="L9" s="8"/>
      <c r="M9" s="8" t="s">
        <v>327</v>
      </c>
      <c r="N9" s="46"/>
      <c r="O9" s="7"/>
      <c r="P9" s="46">
        <v>7</v>
      </c>
      <c r="Q9" t="s">
        <v>395</v>
      </c>
      <c r="R9" t="s">
        <v>396</v>
      </c>
    </row>
    <row r="10" spans="1:18" ht="14.45">
      <c r="A10" s="8" t="s">
        <v>360</v>
      </c>
      <c r="B10" s="8" t="s">
        <v>351</v>
      </c>
      <c r="C10" s="8">
        <v>100</v>
      </c>
      <c r="D10" s="8" t="s">
        <v>320</v>
      </c>
      <c r="E10" s="8"/>
      <c r="F10" s="8"/>
      <c r="G10" s="8"/>
      <c r="H10" s="8"/>
      <c r="I10" s="8"/>
      <c r="J10" s="8"/>
      <c r="K10" s="8"/>
      <c r="L10" s="8"/>
      <c r="M10" s="8" t="s">
        <v>327</v>
      </c>
      <c r="N10" s="46"/>
      <c r="O10" s="7"/>
      <c r="P10" s="46">
        <v>8</v>
      </c>
      <c r="Q10" t="s">
        <v>397</v>
      </c>
      <c r="R10" t="s">
        <v>398</v>
      </c>
    </row>
    <row r="11" spans="1:18" ht="14.45">
      <c r="A11" s="8" t="s">
        <v>363</v>
      </c>
      <c r="B11" s="8" t="s">
        <v>351</v>
      </c>
      <c r="C11" s="8">
        <v>100</v>
      </c>
      <c r="D11" s="8" t="s">
        <v>320</v>
      </c>
      <c r="E11" s="8"/>
      <c r="F11" s="8"/>
      <c r="G11" s="8"/>
      <c r="H11" s="8"/>
      <c r="I11" s="8"/>
      <c r="J11" s="8"/>
      <c r="K11" s="8"/>
      <c r="L11" s="8"/>
      <c r="M11" s="8" t="s">
        <v>327</v>
      </c>
      <c r="N11" s="46"/>
      <c r="O11" s="7"/>
      <c r="P11" s="46">
        <v>9</v>
      </c>
      <c r="Q11" t="s">
        <v>399</v>
      </c>
      <c r="R11" t="s">
        <v>400</v>
      </c>
    </row>
    <row r="12" spans="1:18" ht="14.45">
      <c r="A12" s="8" t="s">
        <v>366</v>
      </c>
      <c r="B12" s="8" t="s">
        <v>367</v>
      </c>
      <c r="C12" s="8"/>
      <c r="D12" s="8" t="s">
        <v>320</v>
      </c>
      <c r="E12" s="8"/>
      <c r="F12" s="8"/>
      <c r="G12" s="8"/>
      <c r="H12" s="8"/>
      <c r="I12" s="8"/>
      <c r="J12" s="8"/>
      <c r="K12" s="8"/>
      <c r="L12" s="8"/>
      <c r="M12" s="8" t="s">
        <v>368</v>
      </c>
      <c r="N12" s="46"/>
      <c r="O12" s="7"/>
      <c r="P12" s="46">
        <v>10</v>
      </c>
      <c r="Q12" t="s">
        <v>401</v>
      </c>
      <c r="R12" t="s">
        <v>402</v>
      </c>
    </row>
    <row r="13" spans="1:18" ht="14.45">
      <c r="A13" s="8" t="s">
        <v>371</v>
      </c>
      <c r="B13" s="8" t="s">
        <v>367</v>
      </c>
      <c r="C13" s="8"/>
      <c r="D13" s="8" t="s">
        <v>320</v>
      </c>
      <c r="E13" s="8"/>
      <c r="F13" s="8"/>
      <c r="G13" s="8"/>
      <c r="H13" s="8"/>
      <c r="I13" s="8"/>
      <c r="J13" s="8"/>
      <c r="K13" s="8"/>
      <c r="L13" s="8"/>
      <c r="M13" s="8" t="s">
        <v>368</v>
      </c>
      <c r="N13" s="46"/>
      <c r="O13" s="7"/>
      <c r="P13" s="46">
        <v>11</v>
      </c>
      <c r="Q13" s="76" t="s">
        <v>403</v>
      </c>
      <c r="R13" t="s">
        <v>404</v>
      </c>
    </row>
    <row r="14" spans="1:18" ht="14.45">
      <c r="A14" s="8" t="s">
        <v>374</v>
      </c>
      <c r="B14" s="8" t="s">
        <v>351</v>
      </c>
      <c r="C14" s="8">
        <v>100</v>
      </c>
      <c r="D14" s="8" t="s">
        <v>320</v>
      </c>
      <c r="E14" s="8"/>
      <c r="F14" s="8"/>
      <c r="G14" s="8"/>
      <c r="H14" s="8"/>
      <c r="I14" s="8"/>
      <c r="J14" s="8"/>
      <c r="K14" s="8"/>
      <c r="L14" s="8"/>
      <c r="M14" s="8" t="s">
        <v>327</v>
      </c>
      <c r="N14" s="46"/>
      <c r="O14" s="7"/>
      <c r="P14" s="46">
        <v>12</v>
      </c>
      <c r="Q14" t="s">
        <v>405</v>
      </c>
      <c r="R14" t="s">
        <v>406</v>
      </c>
    </row>
    <row r="19" spans="1:3" ht="14.45">
      <c r="A19" s="21"/>
      <c r="B19" s="21"/>
      <c r="C19" s="21"/>
    </row>
    <row r="20" spans="1:3" ht="14.45">
      <c r="A20" s="35"/>
      <c r="B20" s="35"/>
      <c r="C20" s="3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F3637-3FD7-46BD-99AF-1ACC47933462}">
  <sheetPr codeName="Sheet19">
    <tabColor rgb="FF92D050"/>
  </sheetPr>
  <dimension ref="A1:R20"/>
  <sheetViews>
    <sheetView workbookViewId="0">
      <pane xSplit="1" ySplit="2" topLeftCell="B3" activePane="bottomRight" state="frozen"/>
      <selection pane="bottomRight" activeCell="J17" sqref="J17"/>
      <selection pane="bottomLeft" activeCell="A3" sqref="A3"/>
      <selection pane="topRight" activeCell="B1" sqref="B1"/>
    </sheetView>
  </sheetViews>
  <sheetFormatPr defaultRowHeight="15" customHeight="1"/>
  <cols>
    <col min="1" max="1" width="33.140625" customWidth="1"/>
    <col min="2" max="2" width="20.42578125" customWidth="1"/>
    <col min="3" max="3" width="18.42578125" customWidth="1"/>
    <col min="4" max="4" width="20.7109375" customWidth="1"/>
    <col min="5" max="5" width="30.5703125" customWidth="1"/>
    <col min="6" max="6" width="29.14062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0.42578125" bestFit="1" customWidth="1"/>
  </cols>
  <sheetData>
    <row r="1" spans="1:18" ht="60" customHeight="1">
      <c r="A1" s="1" t="s">
        <v>407</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408</v>
      </c>
      <c r="B3" s="6" t="s">
        <v>319</v>
      </c>
      <c r="C3" s="6"/>
      <c r="D3" s="6" t="s">
        <v>320</v>
      </c>
      <c r="E3" s="6"/>
      <c r="F3" s="6"/>
      <c r="G3" s="6"/>
      <c r="H3" s="6"/>
      <c r="I3" s="6" t="s">
        <v>98</v>
      </c>
      <c r="J3" s="6" t="s">
        <v>321</v>
      </c>
      <c r="K3" s="6"/>
      <c r="L3" s="6"/>
      <c r="M3" s="6">
        <v>-1</v>
      </c>
      <c r="N3" s="46"/>
      <c r="O3" s="7"/>
      <c r="P3" s="46">
        <v>1</v>
      </c>
      <c r="Q3" s="76" t="s">
        <v>409</v>
      </c>
    </row>
    <row r="4" spans="1:18" ht="14.45">
      <c r="A4" s="9" t="s">
        <v>410</v>
      </c>
      <c r="B4" s="9" t="s">
        <v>325</v>
      </c>
      <c r="C4" s="9">
        <v>4</v>
      </c>
      <c r="D4" s="9" t="s">
        <v>21</v>
      </c>
      <c r="E4" s="9" t="s">
        <v>411</v>
      </c>
      <c r="F4" s="9" t="s">
        <v>412</v>
      </c>
      <c r="G4" s="9" t="s">
        <v>325</v>
      </c>
      <c r="H4" s="9">
        <v>10</v>
      </c>
      <c r="I4" s="9" t="s">
        <v>98</v>
      </c>
      <c r="J4" s="9"/>
      <c r="K4" s="9"/>
      <c r="L4" s="9"/>
      <c r="M4" s="9" t="s">
        <v>327</v>
      </c>
      <c r="N4" s="46"/>
      <c r="O4" s="7"/>
      <c r="P4" s="46">
        <v>2</v>
      </c>
      <c r="Q4" s="76" t="s">
        <v>413</v>
      </c>
    </row>
    <row r="5" spans="1:18" ht="14.45">
      <c r="A5" s="7" t="s">
        <v>414</v>
      </c>
      <c r="B5" s="7" t="s">
        <v>325</v>
      </c>
      <c r="C5" s="7">
        <v>255</v>
      </c>
      <c r="D5" s="7" t="s">
        <v>21</v>
      </c>
      <c r="E5" s="7" t="s">
        <v>411</v>
      </c>
      <c r="F5" s="7" t="s">
        <v>3</v>
      </c>
      <c r="G5" s="7" t="s">
        <v>325</v>
      </c>
      <c r="H5" s="7">
        <v>255</v>
      </c>
      <c r="I5" s="7" t="s">
        <v>74</v>
      </c>
      <c r="J5" s="7"/>
      <c r="K5" s="7"/>
      <c r="L5" s="7"/>
      <c r="M5" s="7" t="s">
        <v>327</v>
      </c>
      <c r="N5" s="46"/>
      <c r="O5" s="7"/>
      <c r="P5" s="46">
        <v>3</v>
      </c>
      <c r="Q5" s="76" t="s">
        <v>415</v>
      </c>
    </row>
    <row r="6" spans="1:18" ht="14.45">
      <c r="A6" s="7" t="s">
        <v>345</v>
      </c>
      <c r="B6" s="7" t="s">
        <v>346</v>
      </c>
      <c r="C6" s="7"/>
      <c r="D6" s="7" t="s">
        <v>21</v>
      </c>
      <c r="E6" s="7" t="s">
        <v>411</v>
      </c>
      <c r="F6" s="7" t="s">
        <v>347</v>
      </c>
      <c r="G6" s="7" t="s">
        <v>346</v>
      </c>
      <c r="H6" s="7"/>
      <c r="I6" s="7" t="s">
        <v>98</v>
      </c>
      <c r="J6" s="7"/>
      <c r="K6" s="7"/>
      <c r="L6" s="7"/>
      <c r="M6" s="7" t="b">
        <v>0</v>
      </c>
      <c r="N6" s="46"/>
      <c r="O6" s="7"/>
      <c r="P6" s="46">
        <v>4</v>
      </c>
      <c r="Q6" s="76" t="s">
        <v>416</v>
      </c>
    </row>
    <row r="7" spans="1:18" ht="14.45">
      <c r="A7" s="8" t="s">
        <v>350</v>
      </c>
      <c r="B7" s="8" t="s">
        <v>351</v>
      </c>
      <c r="C7" s="8">
        <v>100</v>
      </c>
      <c r="D7" s="8" t="s">
        <v>320</v>
      </c>
      <c r="E7" s="8"/>
      <c r="F7" s="8"/>
      <c r="G7" s="8"/>
      <c r="H7" s="8"/>
      <c r="I7" s="8"/>
      <c r="J7" s="8"/>
      <c r="K7" s="8"/>
      <c r="L7" s="8"/>
      <c r="M7" s="8" t="s">
        <v>327</v>
      </c>
      <c r="N7" s="46"/>
      <c r="O7" s="7"/>
      <c r="P7" s="46">
        <v>5</v>
      </c>
      <c r="Q7" s="76" t="s">
        <v>417</v>
      </c>
    </row>
    <row r="8" spans="1:18" ht="14.45">
      <c r="A8" s="8" t="s">
        <v>354</v>
      </c>
      <c r="B8" s="8" t="s">
        <v>351</v>
      </c>
      <c r="C8" s="8">
        <v>100</v>
      </c>
      <c r="D8" s="8" t="s">
        <v>320</v>
      </c>
      <c r="E8" s="8"/>
      <c r="F8" s="8"/>
      <c r="G8" s="8"/>
      <c r="H8" s="8"/>
      <c r="I8" s="8"/>
      <c r="J8" s="8"/>
      <c r="K8" s="8"/>
      <c r="L8" s="8"/>
      <c r="M8" s="8" t="s">
        <v>327</v>
      </c>
      <c r="N8" s="46"/>
      <c r="O8" s="7"/>
      <c r="P8" s="46">
        <v>6</v>
      </c>
      <c r="Q8" s="76" t="s">
        <v>418</v>
      </c>
    </row>
    <row r="9" spans="1:18" ht="14.45">
      <c r="A9" s="8" t="s">
        <v>357</v>
      </c>
      <c r="B9" s="8" t="s">
        <v>351</v>
      </c>
      <c r="C9" s="8">
        <v>100</v>
      </c>
      <c r="D9" s="8" t="s">
        <v>320</v>
      </c>
      <c r="E9" s="8"/>
      <c r="F9" s="8"/>
      <c r="G9" s="8"/>
      <c r="H9" s="8"/>
      <c r="I9" s="8"/>
      <c r="J9" s="8"/>
      <c r="K9" s="8"/>
      <c r="L9" s="8"/>
      <c r="M9" s="8" t="s">
        <v>327</v>
      </c>
      <c r="N9" s="46"/>
      <c r="O9" s="7"/>
      <c r="P9" s="46">
        <v>7</v>
      </c>
      <c r="Q9" s="76" t="s">
        <v>419</v>
      </c>
    </row>
    <row r="10" spans="1:18" ht="14.45">
      <c r="A10" s="8" t="s">
        <v>360</v>
      </c>
      <c r="B10" s="8" t="s">
        <v>351</v>
      </c>
      <c r="C10" s="8">
        <v>100</v>
      </c>
      <c r="D10" s="8" t="s">
        <v>320</v>
      </c>
      <c r="E10" s="8"/>
      <c r="F10" s="8"/>
      <c r="G10" s="8"/>
      <c r="H10" s="8"/>
      <c r="I10" s="8"/>
      <c r="J10" s="8"/>
      <c r="K10" s="8"/>
      <c r="L10" s="8"/>
      <c r="M10" s="8" t="s">
        <v>327</v>
      </c>
      <c r="N10" s="46"/>
      <c r="O10" s="7"/>
      <c r="P10" s="46">
        <v>8</v>
      </c>
      <c r="Q10" t="s">
        <v>420</v>
      </c>
    </row>
    <row r="11" spans="1:18" ht="14.45">
      <c r="A11" s="8" t="s">
        <v>363</v>
      </c>
      <c r="B11" s="8" t="s">
        <v>351</v>
      </c>
      <c r="C11" s="8">
        <v>100</v>
      </c>
      <c r="D11" s="8" t="s">
        <v>320</v>
      </c>
      <c r="E11" s="8"/>
      <c r="F11" s="8"/>
      <c r="G11" s="8"/>
      <c r="H11" s="8"/>
      <c r="I11" s="8"/>
      <c r="J11" s="8"/>
      <c r="K11" s="8"/>
      <c r="L11" s="8"/>
      <c r="M11" s="8" t="s">
        <v>327</v>
      </c>
      <c r="N11" s="46"/>
      <c r="O11" s="7"/>
      <c r="P11" s="46">
        <v>9</v>
      </c>
      <c r="Q11" s="76" t="s">
        <v>421</v>
      </c>
    </row>
    <row r="12" spans="1:18" ht="14.45">
      <c r="A12" s="8" t="s">
        <v>366</v>
      </c>
      <c r="B12" s="8" t="s">
        <v>367</v>
      </c>
      <c r="C12" s="8"/>
      <c r="D12" s="8" t="s">
        <v>320</v>
      </c>
      <c r="E12" s="8"/>
      <c r="F12" s="8"/>
      <c r="G12" s="8"/>
      <c r="H12" s="8"/>
      <c r="I12" s="8"/>
      <c r="J12" s="8"/>
      <c r="K12" s="8"/>
      <c r="L12" s="8"/>
      <c r="M12" s="8" t="s">
        <v>368</v>
      </c>
      <c r="N12" s="46"/>
      <c r="O12" s="7"/>
      <c r="P12" s="46">
        <v>10</v>
      </c>
      <c r="Q12" s="76" t="s">
        <v>422</v>
      </c>
    </row>
    <row r="13" spans="1:18" ht="14.45">
      <c r="A13" s="8" t="s">
        <v>371</v>
      </c>
      <c r="B13" s="8" t="s">
        <v>367</v>
      </c>
      <c r="C13" s="8"/>
      <c r="D13" s="8" t="s">
        <v>320</v>
      </c>
      <c r="E13" s="8"/>
      <c r="F13" s="8"/>
      <c r="G13" s="8"/>
      <c r="H13" s="8"/>
      <c r="I13" s="8"/>
      <c r="J13" s="8"/>
      <c r="K13" s="8"/>
      <c r="L13" s="8"/>
      <c r="M13" s="8" t="s">
        <v>368</v>
      </c>
      <c r="N13" s="46"/>
      <c r="O13" s="7"/>
      <c r="P13" s="46">
        <v>11</v>
      </c>
      <c r="Q13" s="76" t="s">
        <v>423</v>
      </c>
    </row>
    <row r="14" spans="1:18" ht="14.45">
      <c r="A14" s="8" t="s">
        <v>374</v>
      </c>
      <c r="B14" s="8" t="s">
        <v>351</v>
      </c>
      <c r="C14" s="8">
        <v>100</v>
      </c>
      <c r="D14" s="8" t="s">
        <v>320</v>
      </c>
      <c r="E14" s="8"/>
      <c r="F14" s="8"/>
      <c r="G14" s="8"/>
      <c r="H14" s="8"/>
      <c r="I14" s="8"/>
      <c r="J14" s="8"/>
      <c r="K14" s="8"/>
      <c r="L14" s="8"/>
      <c r="M14" s="8" t="s">
        <v>327</v>
      </c>
      <c r="N14" s="46"/>
      <c r="O14" s="7"/>
      <c r="P14" s="46">
        <v>12</v>
      </c>
      <c r="Q14" s="76" t="s">
        <v>424</v>
      </c>
    </row>
    <row r="15" spans="1:18" ht="14.45">
      <c r="Q15" s="76"/>
    </row>
    <row r="18" spans="1:16" ht="14.45">
      <c r="O18" t="str">
        <f ca="1">UPPER(_xlfn.CONCAT(DEC2HEX(RANDBETWEEN(0,4294967295),8),"-",DEC2HEX(RANDBETWEEN(0,65535),4),"-",DEC2HEX(RANDBETWEEN(0,65535),4),"-",DEC2HEX(RANDBETWEEN(0,65535),4),"-",DEC2HEX(RANDBETWEEN(0,4294967295),8),DEC2HEX(RANDBETWEEN(0,65535),4)))</f>
        <v>CD415537-E7DF-0C81-07C0-27534DE02209</v>
      </c>
      <c r="P18" t="str">
        <f ca="1">O18</f>
        <v>CD415537-E7DF-0C81-07C0-27534DE02209</v>
      </c>
    </row>
    <row r="19" spans="1:16" ht="14.45">
      <c r="A19" s="21"/>
      <c r="B19" s="21"/>
      <c r="C19" s="21"/>
    </row>
    <row r="20" spans="1:16" ht="14.45">
      <c r="A20" s="35"/>
      <c r="B20" s="35"/>
      <c r="C20" s="35"/>
    </row>
  </sheetData>
  <conditionalFormatting sqref="Q3:Q4">
    <cfRule type="duplicateValues" dxfId="270" priority="3"/>
  </conditionalFormatting>
  <conditionalFormatting sqref="Q15">
    <cfRule type="duplicateValues" dxfId="269" priority="1"/>
  </conditionalFormatting>
  <conditionalFormatting sqref="Q3:Q9 Q11:Q15">
    <cfRule type="duplicateValues" dxfId="268" priority="293"/>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R28"/>
  <sheetViews>
    <sheetView workbookViewId="0">
      <pane xSplit="1" ySplit="2" topLeftCell="B3" activePane="bottomRight" state="frozen"/>
      <selection pane="bottomRight" activeCell="H7" sqref="H7"/>
      <selection pane="bottomLeft" activeCell="A3" sqref="A3"/>
      <selection pane="topRight" activeCell="B1" sqref="B1"/>
    </sheetView>
  </sheetViews>
  <sheetFormatPr defaultRowHeight="15" customHeight="1"/>
  <cols>
    <col min="1" max="1" width="33.140625" customWidth="1"/>
    <col min="2" max="2" width="19.85546875" customWidth="1"/>
    <col min="3" max="3" width="18.42578125" customWidth="1"/>
    <col min="4" max="4" width="20.7109375" customWidth="1"/>
    <col min="5" max="5" width="30.5703125" customWidth="1"/>
    <col min="6" max="6" width="29.14062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0.42578125" bestFit="1" customWidth="1"/>
  </cols>
  <sheetData>
    <row r="1" spans="1:18" ht="60" customHeight="1">
      <c r="A1" s="1" t="s">
        <v>140</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425</v>
      </c>
      <c r="B3" s="6" t="s">
        <v>319</v>
      </c>
      <c r="C3" s="6"/>
      <c r="D3" s="6" t="s">
        <v>320</v>
      </c>
      <c r="E3" s="6"/>
      <c r="F3" s="6"/>
      <c r="G3" s="6"/>
      <c r="H3" s="6"/>
      <c r="I3" s="6" t="s">
        <v>98</v>
      </c>
      <c r="J3" s="6" t="s">
        <v>321</v>
      </c>
      <c r="K3" s="6"/>
      <c r="L3" s="6"/>
      <c r="M3" s="6">
        <v>-1</v>
      </c>
      <c r="N3" s="46"/>
      <c r="O3" s="7" t="s">
        <v>426</v>
      </c>
      <c r="P3" s="46">
        <v>1</v>
      </c>
      <c r="Q3" s="76" t="s">
        <v>427</v>
      </c>
      <c r="R3" t="s">
        <v>428</v>
      </c>
    </row>
    <row r="4" spans="1:18" ht="14.45">
      <c r="A4" s="9" t="s">
        <v>429</v>
      </c>
      <c r="B4" s="9" t="s">
        <v>351</v>
      </c>
      <c r="C4" s="9">
        <v>4</v>
      </c>
      <c r="D4" s="9" t="s">
        <v>21</v>
      </c>
      <c r="E4" s="9" t="s">
        <v>141</v>
      </c>
      <c r="F4" s="9" t="s">
        <v>430</v>
      </c>
      <c r="G4" s="9" t="s">
        <v>431</v>
      </c>
      <c r="H4" s="9"/>
      <c r="I4" s="9" t="s">
        <v>98</v>
      </c>
      <c r="J4" s="9"/>
      <c r="K4" s="9"/>
      <c r="L4" s="9" t="s">
        <v>432</v>
      </c>
      <c r="M4" s="9" t="s">
        <v>327</v>
      </c>
      <c r="N4" s="46"/>
      <c r="O4" s="7"/>
      <c r="P4" s="46">
        <v>2</v>
      </c>
      <c r="Q4" s="76" t="s">
        <v>433</v>
      </c>
      <c r="R4" t="s">
        <v>434</v>
      </c>
    </row>
    <row r="5" spans="1:18" ht="14.45">
      <c r="A5" s="7" t="s">
        <v>435</v>
      </c>
      <c r="B5" s="7" t="s">
        <v>351</v>
      </c>
      <c r="C5" s="7">
        <v>5</v>
      </c>
      <c r="D5" s="7" t="s">
        <v>21</v>
      </c>
      <c r="E5" s="7" t="s">
        <v>141</v>
      </c>
      <c r="F5" s="7" t="s">
        <v>436</v>
      </c>
      <c r="G5" s="7" t="s">
        <v>325</v>
      </c>
      <c r="H5" s="7">
        <v>5</v>
      </c>
      <c r="I5" s="7" t="s">
        <v>98</v>
      </c>
      <c r="J5" s="7"/>
      <c r="K5" s="7"/>
      <c r="L5" s="7" t="s">
        <v>437</v>
      </c>
      <c r="M5" s="7" t="s">
        <v>327</v>
      </c>
      <c r="N5" s="46"/>
      <c r="O5" s="7"/>
      <c r="P5" s="46">
        <v>3</v>
      </c>
      <c r="Q5" s="76" t="s">
        <v>438</v>
      </c>
      <c r="R5" t="s">
        <v>439</v>
      </c>
    </row>
    <row r="6" spans="1:18" ht="14.45">
      <c r="A6" s="7" t="s">
        <v>440</v>
      </c>
      <c r="B6" s="7" t="s">
        <v>351</v>
      </c>
      <c r="C6" s="7">
        <v>5</v>
      </c>
      <c r="D6" s="7" t="s">
        <v>21</v>
      </c>
      <c r="E6" s="7" t="s">
        <v>141</v>
      </c>
      <c r="F6" s="7" t="s">
        <v>441</v>
      </c>
      <c r="G6" s="7" t="s">
        <v>325</v>
      </c>
      <c r="H6" s="7">
        <v>5</v>
      </c>
      <c r="I6" s="7" t="s">
        <v>98</v>
      </c>
      <c r="J6" s="7"/>
      <c r="K6" s="7"/>
      <c r="L6" s="7" t="s">
        <v>442</v>
      </c>
      <c r="M6" s="7" t="s">
        <v>327</v>
      </c>
      <c r="N6" s="46"/>
      <c r="O6" s="7"/>
      <c r="P6" s="46">
        <v>4</v>
      </c>
      <c r="Q6" s="76" t="s">
        <v>443</v>
      </c>
      <c r="R6" t="s">
        <v>444</v>
      </c>
    </row>
    <row r="7" spans="1:18" ht="14.45">
      <c r="A7" s="7" t="s">
        <v>445</v>
      </c>
      <c r="B7" s="7" t="s">
        <v>351</v>
      </c>
      <c r="C7" s="7">
        <v>255</v>
      </c>
      <c r="D7" s="7" t="s">
        <v>21</v>
      </c>
      <c r="E7" s="7" t="s">
        <v>141</v>
      </c>
      <c r="F7" s="7" t="s">
        <v>446</v>
      </c>
      <c r="G7" s="7" t="s">
        <v>325</v>
      </c>
      <c r="H7" s="7">
        <v>255</v>
      </c>
      <c r="I7" s="7" t="s">
        <v>74</v>
      </c>
      <c r="J7" s="7"/>
      <c r="K7" s="7"/>
      <c r="L7" s="7" t="s">
        <v>432</v>
      </c>
      <c r="M7" s="7" t="s">
        <v>327</v>
      </c>
      <c r="N7" s="46"/>
      <c r="O7" s="7"/>
      <c r="P7" s="46">
        <v>5</v>
      </c>
      <c r="Q7" s="76" t="s">
        <v>447</v>
      </c>
      <c r="R7" t="s">
        <v>448</v>
      </c>
    </row>
    <row r="8" spans="1:18" ht="14.45">
      <c r="A8" s="7" t="s">
        <v>449</v>
      </c>
      <c r="B8" s="7" t="s">
        <v>351</v>
      </c>
      <c r="C8" s="7">
        <v>255</v>
      </c>
      <c r="D8" s="7" t="s">
        <v>21</v>
      </c>
      <c r="E8" s="7" t="s">
        <v>141</v>
      </c>
      <c r="F8" s="7" t="s">
        <v>450</v>
      </c>
      <c r="G8" s="7" t="s">
        <v>325</v>
      </c>
      <c r="H8" s="7">
        <v>255</v>
      </c>
      <c r="I8" s="7" t="s">
        <v>74</v>
      </c>
      <c r="J8" s="7"/>
      <c r="K8" s="7"/>
      <c r="L8" s="7" t="s">
        <v>437</v>
      </c>
      <c r="M8" s="7" t="s">
        <v>327</v>
      </c>
      <c r="N8" s="46"/>
      <c r="O8" s="7"/>
      <c r="P8" s="46">
        <v>6</v>
      </c>
      <c r="Q8" s="76" t="s">
        <v>451</v>
      </c>
      <c r="R8" t="s">
        <v>452</v>
      </c>
    </row>
    <row r="9" spans="1:18" ht="14.45">
      <c r="A9" s="7" t="s">
        <v>453</v>
      </c>
      <c r="B9" s="7" t="s">
        <v>351</v>
      </c>
      <c r="C9" s="7">
        <v>255</v>
      </c>
      <c r="D9" s="7" t="s">
        <v>21</v>
      </c>
      <c r="E9" s="7" t="s">
        <v>141</v>
      </c>
      <c r="F9" s="7" t="s">
        <v>454</v>
      </c>
      <c r="G9" s="7" t="s">
        <v>325</v>
      </c>
      <c r="H9" s="7">
        <v>255</v>
      </c>
      <c r="I9" s="7" t="s">
        <v>74</v>
      </c>
      <c r="J9" s="7"/>
      <c r="K9" s="7"/>
      <c r="L9" s="7" t="s">
        <v>442</v>
      </c>
      <c r="M9" s="7" t="s">
        <v>327</v>
      </c>
      <c r="N9" s="46"/>
      <c r="O9" s="7"/>
      <c r="P9" s="46">
        <v>7</v>
      </c>
      <c r="Q9" s="76" t="s">
        <v>455</v>
      </c>
      <c r="R9" t="s">
        <v>456</v>
      </c>
    </row>
    <row r="10" spans="1:18" ht="14.45">
      <c r="A10" s="22" t="s">
        <v>457</v>
      </c>
      <c r="B10" s="22" t="s">
        <v>351</v>
      </c>
      <c r="C10" s="22">
        <v>255</v>
      </c>
      <c r="D10" s="22" t="s">
        <v>21</v>
      </c>
      <c r="E10" s="22" t="s">
        <v>141</v>
      </c>
      <c r="F10" s="22" t="s">
        <v>458</v>
      </c>
      <c r="G10" s="22" t="s">
        <v>325</v>
      </c>
      <c r="H10" s="22">
        <v>255</v>
      </c>
      <c r="I10" s="22" t="s">
        <v>74</v>
      </c>
      <c r="J10" s="22"/>
      <c r="K10" s="22"/>
      <c r="L10" s="22"/>
      <c r="M10" s="22" t="s">
        <v>327</v>
      </c>
      <c r="N10" s="46"/>
      <c r="O10" s="7"/>
      <c r="P10" s="46">
        <v>8</v>
      </c>
      <c r="Q10" s="76" t="s">
        <v>459</v>
      </c>
      <c r="R10" t="s">
        <v>460</v>
      </c>
    </row>
    <row r="11" spans="1:18" ht="14.45">
      <c r="A11" s="7" t="s">
        <v>345</v>
      </c>
      <c r="B11" s="7" t="s">
        <v>346</v>
      </c>
      <c r="C11" s="7"/>
      <c r="D11" s="7" t="s">
        <v>21</v>
      </c>
      <c r="E11" s="7" t="s">
        <v>141</v>
      </c>
      <c r="F11" s="7" t="s">
        <v>347</v>
      </c>
      <c r="G11" s="7" t="s">
        <v>346</v>
      </c>
      <c r="H11" s="7"/>
      <c r="I11" s="7" t="s">
        <v>98</v>
      </c>
      <c r="J11" s="7"/>
      <c r="K11" s="7"/>
      <c r="L11" s="7"/>
      <c r="M11" s="7" t="b">
        <v>0</v>
      </c>
      <c r="N11" s="46"/>
      <c r="O11" s="7"/>
      <c r="P11" s="46">
        <v>9</v>
      </c>
      <c r="Q11" s="76" t="s">
        <v>461</v>
      </c>
      <c r="R11" t="s">
        <v>462</v>
      </c>
    </row>
    <row r="12" spans="1:18" ht="14.45">
      <c r="A12" s="8" t="s">
        <v>350</v>
      </c>
      <c r="B12" s="8" t="s">
        <v>351</v>
      </c>
      <c r="C12" s="8">
        <v>100</v>
      </c>
      <c r="D12" s="8" t="s">
        <v>320</v>
      </c>
      <c r="E12" s="8"/>
      <c r="F12" s="8"/>
      <c r="G12" s="8"/>
      <c r="H12" s="8"/>
      <c r="I12" s="8"/>
      <c r="J12" s="8"/>
      <c r="K12" s="8"/>
      <c r="L12" s="8"/>
      <c r="M12" s="8" t="s">
        <v>327</v>
      </c>
      <c r="N12" s="46"/>
      <c r="O12" s="7"/>
      <c r="P12" s="46">
        <v>10</v>
      </c>
      <c r="Q12" s="76" t="s">
        <v>463</v>
      </c>
      <c r="R12" t="s">
        <v>464</v>
      </c>
    </row>
    <row r="13" spans="1:18" ht="14.45">
      <c r="A13" s="8" t="s">
        <v>354</v>
      </c>
      <c r="B13" s="8" t="s">
        <v>351</v>
      </c>
      <c r="C13" s="8">
        <v>100</v>
      </c>
      <c r="D13" s="8" t="s">
        <v>320</v>
      </c>
      <c r="E13" s="8"/>
      <c r="F13" s="8"/>
      <c r="G13" s="8"/>
      <c r="H13" s="8"/>
      <c r="I13" s="8"/>
      <c r="J13" s="8"/>
      <c r="K13" s="8"/>
      <c r="L13" s="8"/>
      <c r="M13" s="8" t="s">
        <v>327</v>
      </c>
      <c r="N13" s="46"/>
      <c r="O13" s="7"/>
      <c r="P13" s="46">
        <v>11</v>
      </c>
      <c r="Q13" s="76" t="s">
        <v>465</v>
      </c>
      <c r="R13" t="s">
        <v>466</v>
      </c>
    </row>
    <row r="14" spans="1:18" ht="14.45">
      <c r="A14" s="8" t="s">
        <v>357</v>
      </c>
      <c r="B14" s="8" t="s">
        <v>351</v>
      </c>
      <c r="C14" s="8">
        <v>100</v>
      </c>
      <c r="D14" s="8" t="s">
        <v>320</v>
      </c>
      <c r="E14" s="8"/>
      <c r="F14" s="8"/>
      <c r="G14" s="8"/>
      <c r="H14" s="8"/>
      <c r="I14" s="8"/>
      <c r="J14" s="8"/>
      <c r="K14" s="8"/>
      <c r="L14" s="8"/>
      <c r="M14" s="8" t="s">
        <v>327</v>
      </c>
      <c r="N14" s="46"/>
      <c r="O14" s="7"/>
      <c r="P14" s="46">
        <v>12</v>
      </c>
      <c r="Q14" s="76" t="s">
        <v>467</v>
      </c>
      <c r="R14" t="s">
        <v>468</v>
      </c>
    </row>
    <row r="15" spans="1:18" ht="14.45">
      <c r="A15" s="8" t="s">
        <v>360</v>
      </c>
      <c r="B15" s="8" t="s">
        <v>351</v>
      </c>
      <c r="C15" s="8">
        <v>100</v>
      </c>
      <c r="D15" s="8" t="s">
        <v>320</v>
      </c>
      <c r="E15" s="8"/>
      <c r="F15" s="8"/>
      <c r="G15" s="8"/>
      <c r="H15" s="8"/>
      <c r="I15" s="8"/>
      <c r="J15" s="8"/>
      <c r="K15" s="8"/>
      <c r="L15" s="8"/>
      <c r="M15" s="8" t="s">
        <v>327</v>
      </c>
      <c r="N15" s="46"/>
      <c r="O15" s="7"/>
      <c r="P15" s="46">
        <v>13</v>
      </c>
      <c r="Q15" s="76" t="s">
        <v>469</v>
      </c>
      <c r="R15" t="s">
        <v>470</v>
      </c>
    </row>
    <row r="16" spans="1:18" ht="14.45">
      <c r="A16" s="8" t="s">
        <v>363</v>
      </c>
      <c r="B16" s="8" t="s">
        <v>351</v>
      </c>
      <c r="C16" s="8">
        <v>100</v>
      </c>
      <c r="D16" s="8" t="s">
        <v>320</v>
      </c>
      <c r="E16" s="8"/>
      <c r="F16" s="8"/>
      <c r="G16" s="8"/>
      <c r="H16" s="8"/>
      <c r="I16" s="8"/>
      <c r="J16" s="8"/>
      <c r="K16" s="8"/>
      <c r="L16" s="8"/>
      <c r="M16" s="8" t="s">
        <v>327</v>
      </c>
      <c r="N16" s="46"/>
      <c r="O16" s="7"/>
      <c r="P16" s="46">
        <v>14</v>
      </c>
      <c r="Q16" s="76" t="s">
        <v>471</v>
      </c>
      <c r="R16" t="s">
        <v>472</v>
      </c>
    </row>
    <row r="17" spans="1:18" ht="14.45">
      <c r="A17" s="8" t="s">
        <v>366</v>
      </c>
      <c r="B17" s="8" t="s">
        <v>367</v>
      </c>
      <c r="C17" s="8"/>
      <c r="D17" s="8" t="s">
        <v>320</v>
      </c>
      <c r="E17" s="8"/>
      <c r="F17" s="8"/>
      <c r="G17" s="8"/>
      <c r="H17" s="8"/>
      <c r="I17" s="8"/>
      <c r="J17" s="8"/>
      <c r="K17" s="8"/>
      <c r="L17" s="8"/>
      <c r="M17" s="8" t="s">
        <v>368</v>
      </c>
      <c r="N17" s="46"/>
      <c r="O17" s="7"/>
      <c r="P17" s="46">
        <v>15</v>
      </c>
      <c r="Q17" s="76" t="s">
        <v>473</v>
      </c>
      <c r="R17" t="s">
        <v>474</v>
      </c>
    </row>
    <row r="18" spans="1:18" ht="14.45">
      <c r="A18" s="8" t="s">
        <v>371</v>
      </c>
      <c r="B18" s="8" t="s">
        <v>367</v>
      </c>
      <c r="C18" s="8"/>
      <c r="D18" s="8" t="s">
        <v>320</v>
      </c>
      <c r="E18" s="8"/>
      <c r="F18" s="8"/>
      <c r="G18" s="8"/>
      <c r="H18" s="8"/>
      <c r="I18" s="8"/>
      <c r="J18" s="8"/>
      <c r="K18" s="8"/>
      <c r="L18" s="8"/>
      <c r="M18" s="8" t="s">
        <v>368</v>
      </c>
      <c r="N18" s="46"/>
      <c r="O18" s="7"/>
      <c r="P18" s="46">
        <v>16</v>
      </c>
      <c r="Q18" s="76" t="s">
        <v>475</v>
      </c>
      <c r="R18" t="s">
        <v>476</v>
      </c>
    </row>
    <row r="19" spans="1:18" ht="14.45">
      <c r="A19" s="8" t="s">
        <v>374</v>
      </c>
      <c r="B19" s="8" t="s">
        <v>351</v>
      </c>
      <c r="C19" s="8">
        <v>100</v>
      </c>
      <c r="D19" s="8" t="s">
        <v>320</v>
      </c>
      <c r="E19" s="8"/>
      <c r="F19" s="8"/>
      <c r="G19" s="8"/>
      <c r="H19" s="8"/>
      <c r="I19" s="8"/>
      <c r="J19" s="8"/>
      <c r="K19" s="8"/>
      <c r="L19" s="8"/>
      <c r="M19" s="8" t="s">
        <v>327</v>
      </c>
      <c r="N19" s="46"/>
      <c r="O19" s="7"/>
      <c r="P19" s="46">
        <v>17</v>
      </c>
      <c r="Q19" s="76" t="s">
        <v>477</v>
      </c>
      <c r="R19" t="s">
        <v>478</v>
      </c>
    </row>
    <row r="20" spans="1:18" ht="14.45">
      <c r="Q20" s="76"/>
    </row>
    <row r="24" spans="1:18" ht="14.45">
      <c r="A24" s="21"/>
      <c r="B24" s="21"/>
      <c r="C24" s="21"/>
    </row>
    <row r="25" spans="1:18" ht="14.45">
      <c r="A25" s="35"/>
      <c r="B25" s="35"/>
      <c r="C25" s="35"/>
    </row>
    <row r="26" spans="1:18" ht="14.45"/>
    <row r="27" spans="1:18" ht="14.45"/>
    <row r="28" spans="1:18" ht="14.45"/>
  </sheetData>
  <conditionalFormatting sqref="Q3:Q4">
    <cfRule type="duplicateValues" dxfId="267" priority="3"/>
  </conditionalFormatting>
  <conditionalFormatting sqref="Q3:Q20">
    <cfRule type="duplicateValues" dxfId="266" priority="2"/>
  </conditionalFormatting>
  <conditionalFormatting sqref="Q20">
    <cfRule type="duplicateValues" dxfId="265" priority="1"/>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C56C-0119-460C-8EDE-75AD9530018E}">
  <sheetPr>
    <tabColor rgb="FF92D050"/>
  </sheetPr>
  <dimension ref="A1:R23"/>
  <sheetViews>
    <sheetView zoomScale="90" zoomScaleNormal="90" workbookViewId="0">
      <pane xSplit="1" ySplit="2" topLeftCell="B3" activePane="bottomRight" state="frozen"/>
      <selection pane="bottomRight" activeCell="G11" sqref="G11:I18"/>
      <selection pane="bottomLeft" activeCell="A3" sqref="A3"/>
      <selection pane="topRight" activeCell="B1" sqref="B1"/>
    </sheetView>
  </sheetViews>
  <sheetFormatPr defaultRowHeight="15" customHeight="1"/>
  <cols>
    <col min="1" max="1" width="34.28515625" customWidth="1"/>
    <col min="2" max="2" width="17.7109375" customWidth="1"/>
    <col min="3" max="3" width="17" customWidth="1"/>
    <col min="4" max="4" width="16.7109375" customWidth="1"/>
    <col min="5" max="5" width="40.5703125" customWidth="1"/>
    <col min="6" max="6" width="26" customWidth="1"/>
    <col min="7" max="7" width="18" customWidth="1"/>
    <col min="8" max="8" width="17.42578125" customWidth="1"/>
    <col min="9" max="9" width="16.85546875" customWidth="1"/>
    <col min="10" max="10" width="43.42578125" customWidth="1"/>
    <col min="11" max="11" width="21.5703125" customWidth="1"/>
    <col min="12" max="12" width="25.42578125" customWidth="1"/>
    <col min="13" max="13" width="22" customWidth="1"/>
    <col min="14" max="14" width="14.85546875" bestFit="1" customWidth="1"/>
    <col min="15" max="15" width="39.28515625" customWidth="1"/>
    <col min="16" max="16" width="17.28515625" bestFit="1" customWidth="1"/>
    <col min="17" max="17" width="38.7109375" bestFit="1" customWidth="1"/>
    <col min="18" max="18" width="33.28515625" bestFit="1" customWidth="1"/>
  </cols>
  <sheetData>
    <row r="1" spans="1:18" ht="76.5" customHeight="1">
      <c r="A1" s="1" t="s">
        <v>146</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479</v>
      </c>
      <c r="B3" s="6" t="s">
        <v>319</v>
      </c>
      <c r="C3" s="6"/>
      <c r="D3" s="6" t="s">
        <v>320</v>
      </c>
      <c r="E3" s="6"/>
      <c r="F3" s="6"/>
      <c r="G3" s="6"/>
      <c r="H3" s="6"/>
      <c r="I3" s="6" t="s">
        <v>98</v>
      </c>
      <c r="J3" s="6" t="s">
        <v>321</v>
      </c>
      <c r="K3" s="6"/>
      <c r="L3" s="6"/>
      <c r="M3" s="6">
        <v>-1</v>
      </c>
      <c r="N3" s="46"/>
      <c r="O3" s="7" t="s">
        <v>480</v>
      </c>
      <c r="P3" s="46">
        <v>1</v>
      </c>
      <c r="Q3" s="76" t="s">
        <v>481</v>
      </c>
      <c r="R3" s="76" t="s">
        <v>482</v>
      </c>
    </row>
    <row r="4" spans="1:18" ht="14.45">
      <c r="A4" s="9" t="s">
        <v>483</v>
      </c>
      <c r="B4" s="9" t="s">
        <v>351</v>
      </c>
      <c r="C4" s="9">
        <v>25</v>
      </c>
      <c r="D4" s="9" t="s">
        <v>21</v>
      </c>
      <c r="E4" s="9" t="s">
        <v>147</v>
      </c>
      <c r="F4" s="9" t="s">
        <v>484</v>
      </c>
      <c r="G4" s="9" t="s">
        <v>325</v>
      </c>
      <c r="H4" s="9">
        <v>255</v>
      </c>
      <c r="I4" s="9" t="s">
        <v>98</v>
      </c>
      <c r="J4" s="9"/>
      <c r="K4" s="9"/>
      <c r="L4" s="9"/>
      <c r="M4" s="9" t="s">
        <v>327</v>
      </c>
      <c r="N4" s="46"/>
      <c r="O4" s="7"/>
      <c r="P4" s="46">
        <v>2</v>
      </c>
      <c r="Q4" s="76" t="s">
        <v>485</v>
      </c>
      <c r="R4" s="76" t="s">
        <v>486</v>
      </c>
    </row>
    <row r="5" spans="1:18" ht="14.45">
      <c r="A5" s="7" t="s">
        <v>487</v>
      </c>
      <c r="B5" s="7" t="s">
        <v>351</v>
      </c>
      <c r="C5" s="7">
        <v>50</v>
      </c>
      <c r="D5" s="7" t="s">
        <v>21</v>
      </c>
      <c r="E5" s="7" t="s">
        <v>147</v>
      </c>
      <c r="F5" s="7" t="s">
        <v>488</v>
      </c>
      <c r="G5" s="7" t="s">
        <v>325</v>
      </c>
      <c r="H5" s="7">
        <v>255</v>
      </c>
      <c r="I5" s="7" t="s">
        <v>98</v>
      </c>
      <c r="J5" s="7"/>
      <c r="K5" s="7"/>
      <c r="L5" s="7"/>
      <c r="M5" s="7" t="s">
        <v>327</v>
      </c>
      <c r="N5" s="46"/>
      <c r="O5" s="7" t="s">
        <v>489</v>
      </c>
      <c r="P5" s="46">
        <v>3</v>
      </c>
      <c r="Q5" s="76" t="s">
        <v>490</v>
      </c>
      <c r="R5" s="76" t="s">
        <v>491</v>
      </c>
    </row>
    <row r="6" spans="1:18" ht="14.45">
      <c r="A6" s="7" t="s">
        <v>492</v>
      </c>
      <c r="B6" s="7" t="s">
        <v>351</v>
      </c>
      <c r="C6" s="7">
        <v>255</v>
      </c>
      <c r="D6" s="7" t="s">
        <v>21</v>
      </c>
      <c r="E6" s="7" t="s">
        <v>147</v>
      </c>
      <c r="F6" s="7" t="s">
        <v>493</v>
      </c>
      <c r="G6" s="7" t="s">
        <v>325</v>
      </c>
      <c r="H6" s="7">
        <v>255</v>
      </c>
      <c r="I6" s="7" t="s">
        <v>74</v>
      </c>
      <c r="J6" s="7"/>
      <c r="K6" s="7"/>
      <c r="L6" s="7"/>
      <c r="M6" s="7" t="s">
        <v>327</v>
      </c>
      <c r="N6" s="46"/>
      <c r="O6" s="7"/>
      <c r="P6" s="46">
        <v>4</v>
      </c>
      <c r="Q6" s="76" t="s">
        <v>494</v>
      </c>
      <c r="R6" s="76" t="s">
        <v>495</v>
      </c>
    </row>
    <row r="7" spans="1:18" ht="14.45">
      <c r="A7" s="7" t="s">
        <v>496</v>
      </c>
      <c r="B7" s="7" t="s">
        <v>351</v>
      </c>
      <c r="C7" s="7">
        <v>255</v>
      </c>
      <c r="D7" s="7" t="s">
        <v>21</v>
      </c>
      <c r="E7" s="7" t="s">
        <v>147</v>
      </c>
      <c r="F7" s="7" t="s">
        <v>497</v>
      </c>
      <c r="G7" s="7" t="s">
        <v>325</v>
      </c>
      <c r="H7" s="7">
        <v>255</v>
      </c>
      <c r="I7" s="7" t="s">
        <v>74</v>
      </c>
      <c r="J7" s="7"/>
      <c r="K7" s="7"/>
      <c r="L7" s="7"/>
      <c r="M7" s="7" t="s">
        <v>327</v>
      </c>
      <c r="N7" s="46"/>
      <c r="O7" s="7"/>
      <c r="P7" s="46">
        <v>5</v>
      </c>
      <c r="Q7" s="76" t="s">
        <v>498</v>
      </c>
      <c r="R7" s="76" t="s">
        <v>499</v>
      </c>
    </row>
    <row r="8" spans="1:18" ht="14.45">
      <c r="A8" s="22" t="s">
        <v>500</v>
      </c>
      <c r="B8" s="22" t="s">
        <v>351</v>
      </c>
      <c r="C8" s="22">
        <v>2</v>
      </c>
      <c r="D8" s="22" t="s">
        <v>21</v>
      </c>
      <c r="E8" s="22" t="s">
        <v>147</v>
      </c>
      <c r="F8" s="22" t="s">
        <v>501</v>
      </c>
      <c r="G8" s="22" t="s">
        <v>325</v>
      </c>
      <c r="H8" s="22">
        <v>255</v>
      </c>
      <c r="I8" s="22" t="s">
        <v>74</v>
      </c>
      <c r="J8" s="22"/>
      <c r="K8" s="22"/>
      <c r="L8" s="22"/>
      <c r="M8" s="22" t="s">
        <v>327</v>
      </c>
      <c r="N8" s="46"/>
      <c r="O8" s="7"/>
      <c r="P8" s="46">
        <v>6</v>
      </c>
      <c r="Q8" s="76" t="s">
        <v>502</v>
      </c>
      <c r="R8" s="76" t="s">
        <v>503</v>
      </c>
    </row>
    <row r="9" spans="1:18" ht="14.45">
      <c r="A9" s="22" t="s">
        <v>504</v>
      </c>
      <c r="B9" s="22" t="s">
        <v>351</v>
      </c>
      <c r="C9" s="22">
        <v>3</v>
      </c>
      <c r="D9" s="22" t="s">
        <v>21</v>
      </c>
      <c r="E9" s="22" t="s">
        <v>147</v>
      </c>
      <c r="F9" s="22" t="s">
        <v>505</v>
      </c>
      <c r="G9" s="22" t="s">
        <v>325</v>
      </c>
      <c r="H9" s="22">
        <v>255</v>
      </c>
      <c r="I9" s="22" t="s">
        <v>74</v>
      </c>
      <c r="J9" s="22"/>
      <c r="K9" s="22"/>
      <c r="L9" s="22"/>
      <c r="M9" s="22" t="s">
        <v>327</v>
      </c>
      <c r="N9" s="46"/>
      <c r="O9" s="7"/>
      <c r="P9" s="46">
        <v>7</v>
      </c>
      <c r="Q9" s="76" t="s">
        <v>506</v>
      </c>
      <c r="R9" s="76" t="s">
        <v>507</v>
      </c>
    </row>
    <row r="10" spans="1:18" ht="14.45">
      <c r="A10" s="7" t="s">
        <v>345</v>
      </c>
      <c r="B10" s="7" t="s">
        <v>346</v>
      </c>
      <c r="C10" s="7"/>
      <c r="D10" s="7" t="s">
        <v>21</v>
      </c>
      <c r="E10" s="7" t="s">
        <v>147</v>
      </c>
      <c r="F10" s="7" t="s">
        <v>347</v>
      </c>
      <c r="G10" s="7" t="s">
        <v>346</v>
      </c>
      <c r="H10" s="7"/>
      <c r="I10" s="7" t="s">
        <v>98</v>
      </c>
      <c r="J10" s="7"/>
      <c r="K10" s="7"/>
      <c r="L10" s="7"/>
      <c r="M10" s="7" t="b">
        <v>0</v>
      </c>
      <c r="N10" s="46"/>
      <c r="O10" s="7"/>
      <c r="P10" s="46">
        <v>8</v>
      </c>
      <c r="Q10" s="76" t="s">
        <v>508</v>
      </c>
      <c r="R10" s="76" t="s">
        <v>509</v>
      </c>
    </row>
    <row r="11" spans="1:18" ht="14.45">
      <c r="A11" s="8" t="s">
        <v>350</v>
      </c>
      <c r="B11" s="8" t="s">
        <v>351</v>
      </c>
      <c r="C11" s="8">
        <v>100</v>
      </c>
      <c r="D11" s="8" t="s">
        <v>320</v>
      </c>
      <c r="E11" s="8"/>
      <c r="F11" s="8"/>
      <c r="G11" s="8"/>
      <c r="H11" s="8"/>
      <c r="I11" s="8"/>
      <c r="J11" s="8"/>
      <c r="K11" s="8"/>
      <c r="L11" s="8"/>
      <c r="M11" s="8" t="s">
        <v>327</v>
      </c>
      <c r="N11" s="46"/>
      <c r="O11" s="7"/>
      <c r="P11" s="46">
        <v>9</v>
      </c>
      <c r="Q11" s="76" t="s">
        <v>510</v>
      </c>
      <c r="R11" s="76" t="s">
        <v>511</v>
      </c>
    </row>
    <row r="12" spans="1:18" ht="14.45">
      <c r="A12" s="8" t="s">
        <v>354</v>
      </c>
      <c r="B12" s="8" t="s">
        <v>351</v>
      </c>
      <c r="C12" s="8">
        <v>100</v>
      </c>
      <c r="D12" s="8" t="s">
        <v>320</v>
      </c>
      <c r="E12" s="8"/>
      <c r="F12" s="8"/>
      <c r="G12" s="8"/>
      <c r="H12" s="8"/>
      <c r="I12" s="8"/>
      <c r="J12" s="8"/>
      <c r="K12" s="8"/>
      <c r="L12" s="8"/>
      <c r="M12" s="8" t="s">
        <v>327</v>
      </c>
      <c r="N12" s="46"/>
      <c r="O12" s="7"/>
      <c r="P12" s="46">
        <v>10</v>
      </c>
      <c r="Q12" s="76" t="s">
        <v>512</v>
      </c>
      <c r="R12" s="76" t="s">
        <v>513</v>
      </c>
    </row>
    <row r="13" spans="1:18" ht="14.45">
      <c r="A13" s="8" t="s">
        <v>357</v>
      </c>
      <c r="B13" s="8" t="s">
        <v>351</v>
      </c>
      <c r="C13" s="8">
        <v>100</v>
      </c>
      <c r="D13" s="8" t="s">
        <v>320</v>
      </c>
      <c r="E13" s="8"/>
      <c r="F13" s="8"/>
      <c r="G13" s="8"/>
      <c r="H13" s="8"/>
      <c r="I13" s="8"/>
      <c r="J13" s="8"/>
      <c r="K13" s="8"/>
      <c r="L13" s="8"/>
      <c r="M13" s="8" t="s">
        <v>327</v>
      </c>
      <c r="N13" s="46"/>
      <c r="O13" s="7"/>
      <c r="P13" s="46">
        <v>11</v>
      </c>
      <c r="Q13" s="76" t="s">
        <v>514</v>
      </c>
      <c r="R13" s="76" t="s">
        <v>515</v>
      </c>
    </row>
    <row r="14" spans="1:18" ht="14.45">
      <c r="A14" s="8" t="s">
        <v>360</v>
      </c>
      <c r="B14" s="8" t="s">
        <v>351</v>
      </c>
      <c r="C14" s="8">
        <v>100</v>
      </c>
      <c r="D14" s="8" t="s">
        <v>320</v>
      </c>
      <c r="E14" s="8"/>
      <c r="F14" s="8"/>
      <c r="G14" s="8"/>
      <c r="H14" s="8"/>
      <c r="I14" s="8"/>
      <c r="J14" s="8"/>
      <c r="K14" s="8"/>
      <c r="L14" s="8"/>
      <c r="M14" s="8" t="s">
        <v>327</v>
      </c>
      <c r="N14" s="46"/>
      <c r="O14" s="7"/>
      <c r="P14" s="46">
        <v>12</v>
      </c>
      <c r="Q14" s="76" t="s">
        <v>516</v>
      </c>
      <c r="R14" s="76" t="s">
        <v>517</v>
      </c>
    </row>
    <row r="15" spans="1:18" ht="14.45">
      <c r="A15" s="8" t="s">
        <v>363</v>
      </c>
      <c r="B15" s="8" t="s">
        <v>351</v>
      </c>
      <c r="C15" s="8">
        <v>100</v>
      </c>
      <c r="D15" s="8" t="s">
        <v>320</v>
      </c>
      <c r="E15" s="8"/>
      <c r="F15" s="8"/>
      <c r="G15" s="8"/>
      <c r="H15" s="8"/>
      <c r="I15" s="8"/>
      <c r="J15" s="8"/>
      <c r="K15" s="8"/>
      <c r="L15" s="8"/>
      <c r="M15" s="8" t="s">
        <v>327</v>
      </c>
      <c r="N15" s="46"/>
      <c r="O15" s="7"/>
      <c r="P15" s="46">
        <v>13</v>
      </c>
      <c r="Q15" s="76" t="s">
        <v>518</v>
      </c>
      <c r="R15" s="76" t="s">
        <v>519</v>
      </c>
    </row>
    <row r="16" spans="1:18" ht="14.45">
      <c r="A16" s="8" t="s">
        <v>366</v>
      </c>
      <c r="B16" s="8" t="s">
        <v>367</v>
      </c>
      <c r="C16" s="8"/>
      <c r="D16" s="8" t="s">
        <v>320</v>
      </c>
      <c r="E16" s="8"/>
      <c r="F16" s="8"/>
      <c r="G16" s="8"/>
      <c r="H16" s="8"/>
      <c r="I16" s="8"/>
      <c r="J16" s="8"/>
      <c r="K16" s="8"/>
      <c r="L16" s="8"/>
      <c r="M16" s="8" t="s">
        <v>368</v>
      </c>
      <c r="N16" s="46"/>
      <c r="O16" s="7"/>
      <c r="P16" s="46">
        <v>14</v>
      </c>
      <c r="Q16" s="76" t="s">
        <v>520</v>
      </c>
      <c r="R16" s="76" t="s">
        <v>521</v>
      </c>
    </row>
    <row r="17" spans="1:18" ht="14.45">
      <c r="A17" s="8" t="s">
        <v>371</v>
      </c>
      <c r="B17" s="8" t="s">
        <v>367</v>
      </c>
      <c r="C17" s="8"/>
      <c r="D17" s="8" t="s">
        <v>320</v>
      </c>
      <c r="E17" s="8"/>
      <c r="F17" s="8"/>
      <c r="G17" s="8"/>
      <c r="H17" s="8"/>
      <c r="I17" s="8"/>
      <c r="J17" s="8"/>
      <c r="K17" s="8"/>
      <c r="L17" s="8"/>
      <c r="M17" s="8" t="s">
        <v>368</v>
      </c>
      <c r="N17" s="46"/>
      <c r="O17" s="7"/>
      <c r="P17" s="46">
        <v>15</v>
      </c>
      <c r="Q17" s="76" t="s">
        <v>522</v>
      </c>
      <c r="R17" s="76" t="s">
        <v>523</v>
      </c>
    </row>
    <row r="18" spans="1:18" ht="14.45">
      <c r="A18" s="8" t="s">
        <v>374</v>
      </c>
      <c r="B18" s="8" t="s">
        <v>351</v>
      </c>
      <c r="C18" s="8">
        <v>100</v>
      </c>
      <c r="D18" s="8" t="s">
        <v>320</v>
      </c>
      <c r="E18" s="8"/>
      <c r="F18" s="8"/>
      <c r="G18" s="8"/>
      <c r="H18" s="8"/>
      <c r="I18" s="8"/>
      <c r="J18" s="8"/>
      <c r="K18" s="8"/>
      <c r="L18" s="8"/>
      <c r="M18" s="8" t="s">
        <v>327</v>
      </c>
      <c r="N18" s="46"/>
      <c r="O18" s="7"/>
      <c r="P18" s="46">
        <v>16</v>
      </c>
      <c r="Q18" s="76" t="s">
        <v>524</v>
      </c>
      <c r="R18" s="76" t="s">
        <v>525</v>
      </c>
    </row>
    <row r="22" spans="1:18" ht="14.45">
      <c r="A22" s="21"/>
      <c r="B22" s="21"/>
      <c r="C22" s="21"/>
    </row>
    <row r="23" spans="1:18" ht="14.45">
      <c r="A23" s="35"/>
      <c r="B23" s="35"/>
      <c r="C23" s="35"/>
    </row>
  </sheetData>
  <conditionalFormatting sqref="Q3">
    <cfRule type="duplicateValues" dxfId="264" priority="2"/>
  </conditionalFormatting>
  <conditionalFormatting sqref="Q3:Q18">
    <cfRule type="duplicateValues" dxfId="263" priority="1"/>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92D050"/>
  </sheetPr>
  <dimension ref="A1:R26"/>
  <sheetViews>
    <sheetView workbookViewId="0">
      <selection activeCell="H11" sqref="H11"/>
    </sheetView>
  </sheetViews>
  <sheetFormatPr defaultRowHeight="15" customHeight="1"/>
  <cols>
    <col min="1" max="1" width="33" customWidth="1"/>
    <col min="2" max="2" width="21.5703125" customWidth="1"/>
    <col min="3" max="3" width="17.5703125" customWidth="1"/>
    <col min="4" max="5" width="20.7109375" customWidth="1"/>
    <col min="6" max="6" width="31.7109375" customWidth="1"/>
    <col min="7" max="9" width="15.7109375" customWidth="1"/>
    <col min="10" max="13" width="20.7109375" customWidth="1"/>
    <col min="14" max="14" width="15.7109375" style="44" bestFit="1" customWidth="1"/>
    <col min="15" max="15" width="34.85546875" customWidth="1"/>
    <col min="17" max="17" width="38.28515625" style="44" bestFit="1" customWidth="1"/>
    <col min="18" max="18" width="32.28515625" bestFit="1" customWidth="1"/>
  </cols>
  <sheetData>
    <row r="1" spans="1:18" ht="60" customHeight="1">
      <c r="A1" s="1" t="s">
        <v>154</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526</v>
      </c>
      <c r="B3" s="6" t="s">
        <v>319</v>
      </c>
      <c r="C3" s="6"/>
      <c r="D3" s="6" t="s">
        <v>320</v>
      </c>
      <c r="E3" s="6"/>
      <c r="F3" s="6"/>
      <c r="G3" s="6"/>
      <c r="H3" s="6"/>
      <c r="I3" s="6" t="s">
        <v>98</v>
      </c>
      <c r="J3" s="6" t="s">
        <v>527</v>
      </c>
      <c r="K3" s="6"/>
      <c r="L3" s="6"/>
      <c r="M3" s="6">
        <v>-1</v>
      </c>
      <c r="N3" s="46" t="s">
        <v>76</v>
      </c>
      <c r="O3" s="7" t="s">
        <v>528</v>
      </c>
      <c r="P3" s="46">
        <v>1</v>
      </c>
      <c r="Q3" s="76" t="s">
        <v>529</v>
      </c>
      <c r="R3" s="76" t="s">
        <v>530</v>
      </c>
    </row>
    <row r="4" spans="1:18" ht="14.45">
      <c r="A4" s="9" t="s">
        <v>500</v>
      </c>
      <c r="B4" s="9" t="s">
        <v>351</v>
      </c>
      <c r="C4" s="9">
        <v>2</v>
      </c>
      <c r="D4" s="9" t="s">
        <v>21</v>
      </c>
      <c r="E4" s="9" t="s">
        <v>155</v>
      </c>
      <c r="F4" s="9" t="s">
        <v>531</v>
      </c>
      <c r="G4" s="9" t="s">
        <v>325</v>
      </c>
      <c r="H4" s="9">
        <v>255</v>
      </c>
      <c r="I4" s="9" t="s">
        <v>98</v>
      </c>
      <c r="J4" s="9"/>
      <c r="K4" s="9"/>
      <c r="L4" s="9"/>
      <c r="M4" s="9" t="s">
        <v>327</v>
      </c>
      <c r="N4" s="46"/>
      <c r="O4" s="7"/>
      <c r="P4" s="46">
        <v>2</v>
      </c>
      <c r="Q4" s="76" t="s">
        <v>532</v>
      </c>
      <c r="R4" s="76" t="s">
        <v>533</v>
      </c>
    </row>
    <row r="5" spans="1:18" ht="14.45">
      <c r="A5" s="7" t="s">
        <v>534</v>
      </c>
      <c r="B5" s="7" t="s">
        <v>351</v>
      </c>
      <c r="C5" s="7">
        <v>3</v>
      </c>
      <c r="D5" s="7" t="s">
        <v>21</v>
      </c>
      <c r="E5" s="7" t="s">
        <v>155</v>
      </c>
      <c r="F5" s="7" t="s">
        <v>535</v>
      </c>
      <c r="G5" s="7" t="s">
        <v>325</v>
      </c>
      <c r="H5" s="7">
        <v>255</v>
      </c>
      <c r="I5" s="7" t="s">
        <v>74</v>
      </c>
      <c r="J5" s="7"/>
      <c r="K5" s="7"/>
      <c r="L5" s="7"/>
      <c r="M5" s="7" t="s">
        <v>327</v>
      </c>
      <c r="N5" s="46"/>
      <c r="O5" s="7"/>
      <c r="P5" s="46">
        <v>3</v>
      </c>
      <c r="Q5" s="76" t="s">
        <v>536</v>
      </c>
      <c r="R5" s="76" t="s">
        <v>537</v>
      </c>
    </row>
    <row r="6" spans="1:18" ht="14.45">
      <c r="A6" s="7" t="s">
        <v>538</v>
      </c>
      <c r="B6" s="7" t="s">
        <v>351</v>
      </c>
      <c r="C6" s="7">
        <v>25</v>
      </c>
      <c r="D6" s="7" t="s">
        <v>21</v>
      </c>
      <c r="E6" s="7" t="s">
        <v>155</v>
      </c>
      <c r="F6" s="7" t="s">
        <v>539</v>
      </c>
      <c r="G6" s="7" t="s">
        <v>325</v>
      </c>
      <c r="H6" s="7">
        <v>255</v>
      </c>
      <c r="I6" s="7" t="s">
        <v>74</v>
      </c>
      <c r="J6" s="7"/>
      <c r="K6" s="7"/>
      <c r="L6" s="7"/>
      <c r="M6" s="7" t="s">
        <v>327</v>
      </c>
      <c r="N6" s="46"/>
      <c r="O6" s="7"/>
      <c r="P6" s="46">
        <v>4</v>
      </c>
      <c r="Q6" s="76" t="s">
        <v>540</v>
      </c>
      <c r="R6" s="76" t="s">
        <v>541</v>
      </c>
    </row>
    <row r="7" spans="1:18" ht="14.45">
      <c r="A7" s="7" t="s">
        <v>542</v>
      </c>
      <c r="B7" s="7" t="s">
        <v>351</v>
      </c>
      <c r="C7" s="7">
        <v>255</v>
      </c>
      <c r="D7" s="7" t="s">
        <v>21</v>
      </c>
      <c r="E7" s="7" t="s">
        <v>155</v>
      </c>
      <c r="F7" s="7" t="s">
        <v>543</v>
      </c>
      <c r="G7" s="7" t="s">
        <v>325</v>
      </c>
      <c r="H7" s="7">
        <v>255</v>
      </c>
      <c r="I7" s="7" t="s">
        <v>74</v>
      </c>
      <c r="J7" s="7"/>
      <c r="K7" s="7"/>
      <c r="L7" s="7"/>
      <c r="M7" s="7" t="s">
        <v>327</v>
      </c>
      <c r="N7" s="46"/>
      <c r="O7" s="7"/>
      <c r="P7" s="46">
        <v>5</v>
      </c>
      <c r="Q7" s="76" t="s">
        <v>544</v>
      </c>
      <c r="R7" s="76" t="s">
        <v>545</v>
      </c>
    </row>
    <row r="8" spans="1:18" ht="14.45">
      <c r="A8" s="7" t="s">
        <v>546</v>
      </c>
      <c r="B8" s="7" t="s">
        <v>351</v>
      </c>
      <c r="C8" s="7">
        <v>255</v>
      </c>
      <c r="D8" s="7" t="s">
        <v>21</v>
      </c>
      <c r="E8" s="7" t="s">
        <v>155</v>
      </c>
      <c r="F8" s="7" t="s">
        <v>547</v>
      </c>
      <c r="G8" s="7" t="s">
        <v>325</v>
      </c>
      <c r="H8" s="7">
        <v>255</v>
      </c>
      <c r="I8" s="7" t="s">
        <v>74</v>
      </c>
      <c r="J8" s="7"/>
      <c r="K8" s="7"/>
      <c r="L8" s="7"/>
      <c r="M8" s="7" t="s">
        <v>327</v>
      </c>
      <c r="N8" s="46"/>
      <c r="O8" s="7"/>
      <c r="P8" s="46">
        <v>6</v>
      </c>
      <c r="Q8" s="76" t="s">
        <v>548</v>
      </c>
      <c r="R8" s="76" t="s">
        <v>549</v>
      </c>
    </row>
    <row r="9" spans="1:18" ht="14.45">
      <c r="A9" s="7" t="s">
        <v>550</v>
      </c>
      <c r="B9" s="7" t="s">
        <v>351</v>
      </c>
      <c r="C9" s="7">
        <v>2</v>
      </c>
      <c r="D9" s="7" t="s">
        <v>21</v>
      </c>
      <c r="E9" s="7" t="s">
        <v>155</v>
      </c>
      <c r="F9" s="7" t="s">
        <v>551</v>
      </c>
      <c r="G9" s="7" t="s">
        <v>325</v>
      </c>
      <c r="H9" s="7">
        <v>255</v>
      </c>
      <c r="I9" s="7" t="s">
        <v>74</v>
      </c>
      <c r="J9" s="7"/>
      <c r="K9" s="7"/>
      <c r="L9" s="7"/>
      <c r="M9" s="7" t="s">
        <v>327</v>
      </c>
      <c r="N9" s="46"/>
      <c r="O9" s="7"/>
      <c r="P9" s="46">
        <v>7</v>
      </c>
      <c r="Q9" s="76" t="s">
        <v>552</v>
      </c>
      <c r="R9" s="76" t="s">
        <v>553</v>
      </c>
    </row>
    <row r="10" spans="1:18" ht="14.45">
      <c r="A10" s="22" t="s">
        <v>504</v>
      </c>
      <c r="B10" s="22" t="s">
        <v>351</v>
      </c>
      <c r="C10" s="22">
        <v>3</v>
      </c>
      <c r="D10" s="22" t="s">
        <v>21</v>
      </c>
      <c r="E10" s="22" t="s">
        <v>155</v>
      </c>
      <c r="F10" s="22" t="s">
        <v>554</v>
      </c>
      <c r="G10" s="22" t="s">
        <v>325</v>
      </c>
      <c r="H10" s="22">
        <v>255</v>
      </c>
      <c r="I10" s="22" t="s">
        <v>74</v>
      </c>
      <c r="J10" s="22"/>
      <c r="K10" s="22"/>
      <c r="L10" s="22"/>
      <c r="M10" s="22" t="s">
        <v>327</v>
      </c>
      <c r="N10" s="46"/>
      <c r="O10" s="50"/>
      <c r="P10" s="46">
        <v>8</v>
      </c>
      <c r="Q10" s="76" t="s">
        <v>555</v>
      </c>
      <c r="R10" s="76" t="s">
        <v>556</v>
      </c>
    </row>
    <row r="11" spans="1:18" ht="14.45">
      <c r="A11" s="7" t="s">
        <v>557</v>
      </c>
      <c r="B11" s="7" t="s">
        <v>351</v>
      </c>
      <c r="C11" s="7">
        <v>255</v>
      </c>
      <c r="D11" s="7" t="s">
        <v>21</v>
      </c>
      <c r="E11" s="7" t="s">
        <v>155</v>
      </c>
      <c r="F11" s="7" t="s">
        <v>558</v>
      </c>
      <c r="G11" s="7" t="s">
        <v>325</v>
      </c>
      <c r="H11" s="7">
        <v>255</v>
      </c>
      <c r="I11" s="7" t="s">
        <v>74</v>
      </c>
      <c r="J11" s="7"/>
      <c r="K11" s="7"/>
      <c r="L11" s="7"/>
      <c r="M11" s="7" t="s">
        <v>327</v>
      </c>
      <c r="N11" s="46"/>
      <c r="O11" s="7"/>
      <c r="P11" s="46">
        <v>9</v>
      </c>
      <c r="Q11" s="76" t="s">
        <v>559</v>
      </c>
      <c r="R11" s="76" t="s">
        <v>560</v>
      </c>
    </row>
    <row r="12" spans="1:18" ht="14.45">
      <c r="A12" s="7" t="s">
        <v>561</v>
      </c>
      <c r="B12" s="7" t="s">
        <v>346</v>
      </c>
      <c r="C12" s="7"/>
      <c r="D12" s="7" t="s">
        <v>21</v>
      </c>
      <c r="E12" s="7" t="s">
        <v>155</v>
      </c>
      <c r="F12" s="7" t="s">
        <v>562</v>
      </c>
      <c r="G12" s="7" t="s">
        <v>346</v>
      </c>
      <c r="H12" s="7"/>
      <c r="I12" s="7" t="s">
        <v>74</v>
      </c>
      <c r="J12" s="7"/>
      <c r="K12" s="7"/>
      <c r="L12" s="7"/>
      <c r="M12" s="7" t="b">
        <v>0</v>
      </c>
      <c r="N12" s="46"/>
      <c r="O12" s="7"/>
      <c r="P12" s="46">
        <v>10</v>
      </c>
      <c r="Q12" s="76" t="s">
        <v>563</v>
      </c>
      <c r="R12" s="76" t="s">
        <v>564</v>
      </c>
    </row>
    <row r="13" spans="1:18" ht="14.45">
      <c r="A13" s="7" t="s">
        <v>345</v>
      </c>
      <c r="B13" s="7" t="s">
        <v>346</v>
      </c>
      <c r="C13" s="7"/>
      <c r="D13" s="7" t="s">
        <v>21</v>
      </c>
      <c r="E13" s="7" t="s">
        <v>155</v>
      </c>
      <c r="F13" s="7" t="s">
        <v>347</v>
      </c>
      <c r="G13" s="7" t="s">
        <v>346</v>
      </c>
      <c r="H13" s="7"/>
      <c r="I13" s="7" t="s">
        <v>98</v>
      </c>
      <c r="J13" s="7"/>
      <c r="K13" s="7"/>
      <c r="L13" s="7"/>
      <c r="M13" s="7" t="b">
        <v>0</v>
      </c>
      <c r="N13" s="46"/>
      <c r="O13" s="7"/>
      <c r="P13" s="46">
        <v>11</v>
      </c>
      <c r="Q13" s="76" t="s">
        <v>565</v>
      </c>
      <c r="R13" s="76" t="s">
        <v>566</v>
      </c>
    </row>
    <row r="14" spans="1:18" ht="14.45">
      <c r="A14" s="8" t="s">
        <v>350</v>
      </c>
      <c r="B14" s="8" t="s">
        <v>351</v>
      </c>
      <c r="C14" s="8">
        <v>100</v>
      </c>
      <c r="D14" s="8" t="s">
        <v>320</v>
      </c>
      <c r="E14" s="8"/>
      <c r="F14" s="8"/>
      <c r="G14" s="8"/>
      <c r="H14" s="8"/>
      <c r="I14" s="8"/>
      <c r="J14" s="8"/>
      <c r="K14" s="8"/>
      <c r="L14" s="8"/>
      <c r="M14" s="8" t="s">
        <v>327</v>
      </c>
      <c r="N14" s="46"/>
      <c r="O14" s="7"/>
      <c r="P14" s="46">
        <v>12</v>
      </c>
      <c r="Q14" s="76" t="s">
        <v>567</v>
      </c>
      <c r="R14" s="76" t="s">
        <v>568</v>
      </c>
    </row>
    <row r="15" spans="1:18" ht="14.45">
      <c r="A15" s="8" t="s">
        <v>354</v>
      </c>
      <c r="B15" s="8" t="s">
        <v>351</v>
      </c>
      <c r="C15" s="8">
        <v>100</v>
      </c>
      <c r="D15" s="8" t="s">
        <v>320</v>
      </c>
      <c r="E15" s="8"/>
      <c r="F15" s="8"/>
      <c r="G15" s="8"/>
      <c r="H15" s="8"/>
      <c r="I15" s="8"/>
      <c r="J15" s="8"/>
      <c r="K15" s="8"/>
      <c r="L15" s="8"/>
      <c r="M15" s="8" t="s">
        <v>327</v>
      </c>
      <c r="N15" s="46"/>
      <c r="O15" s="7"/>
      <c r="P15" s="46">
        <v>13</v>
      </c>
      <c r="Q15" s="76" t="s">
        <v>569</v>
      </c>
      <c r="R15" s="76" t="s">
        <v>570</v>
      </c>
    </row>
    <row r="16" spans="1:18" ht="14.45">
      <c r="A16" s="8" t="s">
        <v>357</v>
      </c>
      <c r="B16" s="8" t="s">
        <v>351</v>
      </c>
      <c r="C16" s="8">
        <v>100</v>
      </c>
      <c r="D16" s="8" t="s">
        <v>320</v>
      </c>
      <c r="E16" s="8"/>
      <c r="F16" s="8"/>
      <c r="G16" s="8"/>
      <c r="H16" s="8"/>
      <c r="I16" s="8"/>
      <c r="J16" s="8"/>
      <c r="K16" s="8"/>
      <c r="L16" s="8"/>
      <c r="M16" s="8" t="s">
        <v>327</v>
      </c>
      <c r="N16" s="46"/>
      <c r="O16" s="7"/>
      <c r="P16" s="46">
        <v>14</v>
      </c>
      <c r="Q16" s="76" t="s">
        <v>571</v>
      </c>
      <c r="R16" s="76" t="s">
        <v>572</v>
      </c>
    </row>
    <row r="17" spans="1:18" ht="14.45">
      <c r="A17" s="8" t="s">
        <v>360</v>
      </c>
      <c r="B17" s="8" t="s">
        <v>351</v>
      </c>
      <c r="C17" s="8">
        <v>100</v>
      </c>
      <c r="D17" s="8" t="s">
        <v>320</v>
      </c>
      <c r="E17" s="8"/>
      <c r="F17" s="8"/>
      <c r="G17" s="8"/>
      <c r="H17" s="8"/>
      <c r="I17" s="8"/>
      <c r="J17" s="8"/>
      <c r="K17" s="8"/>
      <c r="L17" s="8"/>
      <c r="M17" s="8" t="s">
        <v>327</v>
      </c>
      <c r="N17" s="46"/>
      <c r="O17" s="7"/>
      <c r="P17" s="46">
        <v>15</v>
      </c>
      <c r="Q17" s="76" t="s">
        <v>573</v>
      </c>
      <c r="R17" s="76" t="s">
        <v>574</v>
      </c>
    </row>
    <row r="18" spans="1:18" ht="14.45">
      <c r="A18" s="8" t="s">
        <v>363</v>
      </c>
      <c r="B18" s="8" t="s">
        <v>351</v>
      </c>
      <c r="C18" s="8">
        <v>100</v>
      </c>
      <c r="D18" s="8" t="s">
        <v>320</v>
      </c>
      <c r="E18" s="8"/>
      <c r="F18" s="8"/>
      <c r="G18" s="8"/>
      <c r="H18" s="8"/>
      <c r="I18" s="8"/>
      <c r="J18" s="8"/>
      <c r="K18" s="8"/>
      <c r="L18" s="8"/>
      <c r="M18" s="8" t="s">
        <v>327</v>
      </c>
      <c r="N18" s="46"/>
      <c r="O18" s="7"/>
      <c r="P18" s="46">
        <v>16</v>
      </c>
      <c r="Q18" s="76" t="s">
        <v>575</v>
      </c>
      <c r="R18" s="76" t="s">
        <v>576</v>
      </c>
    </row>
    <row r="19" spans="1:18" ht="14.45">
      <c r="A19" s="8" t="s">
        <v>366</v>
      </c>
      <c r="B19" s="8" t="s">
        <v>367</v>
      </c>
      <c r="C19" s="8"/>
      <c r="D19" s="8" t="s">
        <v>320</v>
      </c>
      <c r="E19" s="8"/>
      <c r="F19" s="8"/>
      <c r="G19" s="8"/>
      <c r="H19" s="8"/>
      <c r="I19" s="8"/>
      <c r="J19" s="8"/>
      <c r="K19" s="8"/>
      <c r="L19" s="8"/>
      <c r="M19" s="8" t="s">
        <v>368</v>
      </c>
      <c r="N19" s="46"/>
      <c r="O19" s="7"/>
      <c r="P19" s="46">
        <v>17</v>
      </c>
      <c r="Q19" s="76" t="s">
        <v>577</v>
      </c>
      <c r="R19" s="76" t="s">
        <v>578</v>
      </c>
    </row>
    <row r="20" spans="1:18" ht="14.45">
      <c r="A20" s="8" t="s">
        <v>371</v>
      </c>
      <c r="B20" s="8" t="s">
        <v>367</v>
      </c>
      <c r="C20" s="8"/>
      <c r="D20" s="8" t="s">
        <v>320</v>
      </c>
      <c r="E20" s="8"/>
      <c r="F20" s="8"/>
      <c r="G20" s="8"/>
      <c r="H20" s="8"/>
      <c r="I20" s="8"/>
      <c r="J20" s="8"/>
      <c r="K20" s="8"/>
      <c r="L20" s="8"/>
      <c r="M20" s="8" t="s">
        <v>368</v>
      </c>
      <c r="N20" s="46"/>
      <c r="O20" s="7"/>
      <c r="P20" s="46">
        <v>18</v>
      </c>
      <c r="Q20" s="76" t="s">
        <v>579</v>
      </c>
      <c r="R20" s="76" t="s">
        <v>580</v>
      </c>
    </row>
    <row r="21" spans="1:18" ht="14.45">
      <c r="A21" s="8" t="s">
        <v>374</v>
      </c>
      <c r="B21" s="8" t="s">
        <v>351</v>
      </c>
      <c r="C21" s="8">
        <v>100</v>
      </c>
      <c r="D21" s="8" t="s">
        <v>320</v>
      </c>
      <c r="E21" s="8"/>
      <c r="F21" s="8"/>
      <c r="G21" s="8"/>
      <c r="H21" s="8"/>
      <c r="I21" s="8"/>
      <c r="J21" s="8"/>
      <c r="K21" s="8"/>
      <c r="L21" s="8"/>
      <c r="M21" s="8" t="s">
        <v>327</v>
      </c>
      <c r="N21" s="46"/>
      <c r="O21" s="7"/>
      <c r="P21" s="46">
        <v>19</v>
      </c>
      <c r="Q21" s="76" t="s">
        <v>581</v>
      </c>
      <c r="R21" s="76" t="s">
        <v>582</v>
      </c>
    </row>
    <row r="25" spans="1:18" ht="14.45">
      <c r="A25" s="21"/>
      <c r="B25" s="21"/>
      <c r="C25" s="21"/>
    </row>
    <row r="26" spans="1:18" ht="14.45">
      <c r="A26" s="35"/>
      <c r="B26" s="35"/>
      <c r="C26" s="35"/>
    </row>
  </sheetData>
  <conditionalFormatting sqref="Q3">
    <cfRule type="duplicateValues" dxfId="262" priority="3"/>
  </conditionalFormatting>
  <conditionalFormatting sqref="Q20">
    <cfRule type="duplicateValues" dxfId="261" priority="2"/>
  </conditionalFormatting>
  <conditionalFormatting sqref="Q3:Q21">
    <cfRule type="duplicateValues" dxfId="260"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2A5FB-AB87-42D3-99AE-CCC28C2CE29B}">
  <sheetPr>
    <tabColor rgb="FF92D050"/>
  </sheetPr>
  <dimension ref="A1:R21"/>
  <sheetViews>
    <sheetView zoomScale="90" zoomScaleNormal="90" workbookViewId="0">
      <selection activeCell="H6" sqref="H6"/>
    </sheetView>
  </sheetViews>
  <sheetFormatPr defaultRowHeight="15" customHeight="1"/>
  <cols>
    <col min="1" max="1" width="34.28515625" customWidth="1"/>
    <col min="2" max="2" width="19.5703125" customWidth="1"/>
    <col min="3" max="3" width="18.140625" customWidth="1"/>
    <col min="4" max="4" width="17.42578125" customWidth="1"/>
    <col min="5" max="5" width="27.5703125" customWidth="1"/>
    <col min="6" max="6" width="26" customWidth="1"/>
    <col min="7" max="7" width="18" customWidth="1"/>
    <col min="8" max="8" width="17.42578125" customWidth="1"/>
    <col min="9" max="9" width="16.85546875" customWidth="1"/>
    <col min="10" max="10" width="44.7109375" customWidth="1"/>
    <col min="11" max="11" width="21.5703125" customWidth="1"/>
    <col min="12" max="12" width="25.42578125" customWidth="1"/>
    <col min="13" max="13" width="22" customWidth="1"/>
    <col min="14" max="14" width="20.42578125" customWidth="1"/>
    <col min="15" max="15" width="39.28515625" customWidth="1"/>
    <col min="17" max="17" width="38.7109375" bestFit="1" customWidth="1"/>
    <col min="18" max="18" width="33" bestFit="1" customWidth="1"/>
  </cols>
  <sheetData>
    <row r="1" spans="1:18" ht="76.5" customHeight="1">
      <c r="A1" s="1" t="s">
        <v>158</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8.75" customHeight="1">
      <c r="A3" s="6" t="s">
        <v>583</v>
      </c>
      <c r="B3" s="6" t="s">
        <v>319</v>
      </c>
      <c r="C3" s="6"/>
      <c r="D3" s="6" t="s">
        <v>320</v>
      </c>
      <c r="E3" s="6"/>
      <c r="F3" s="6"/>
      <c r="G3" s="6"/>
      <c r="H3" s="6"/>
      <c r="I3" s="6" t="s">
        <v>98</v>
      </c>
      <c r="J3" s="6" t="s">
        <v>321</v>
      </c>
      <c r="K3" s="6"/>
      <c r="L3" s="6"/>
      <c r="M3" s="6">
        <v>-1</v>
      </c>
      <c r="N3" s="46" t="s">
        <v>76</v>
      </c>
      <c r="O3" s="50" t="s">
        <v>584</v>
      </c>
      <c r="P3" s="46">
        <v>1</v>
      </c>
      <c r="Q3" s="76" t="s">
        <v>585</v>
      </c>
      <c r="R3" t="s">
        <v>586</v>
      </c>
    </row>
    <row r="4" spans="1:18" s="38" customFormat="1" ht="14.45">
      <c r="A4" s="9" t="s">
        <v>504</v>
      </c>
      <c r="B4" s="9" t="s">
        <v>351</v>
      </c>
      <c r="C4" s="9">
        <v>3</v>
      </c>
      <c r="D4" s="9" t="s">
        <v>21</v>
      </c>
      <c r="E4" s="9" t="s">
        <v>159</v>
      </c>
      <c r="F4" s="9" t="s">
        <v>587</v>
      </c>
      <c r="G4" s="9" t="s">
        <v>325</v>
      </c>
      <c r="H4" s="9">
        <v>255</v>
      </c>
      <c r="I4" s="9" t="s">
        <v>98</v>
      </c>
      <c r="J4" s="9"/>
      <c r="K4" s="9"/>
      <c r="L4" s="9"/>
      <c r="M4" s="9" t="s">
        <v>327</v>
      </c>
      <c r="N4" s="46"/>
      <c r="O4" s="7"/>
      <c r="P4" s="46">
        <v>2</v>
      </c>
      <c r="Q4" s="76" t="s">
        <v>588</v>
      </c>
      <c r="R4" t="s">
        <v>589</v>
      </c>
    </row>
    <row r="5" spans="1:18" ht="14.45">
      <c r="A5" s="7" t="s">
        <v>590</v>
      </c>
      <c r="B5" s="7" t="s">
        <v>351</v>
      </c>
      <c r="C5" s="7">
        <v>255</v>
      </c>
      <c r="D5" s="7" t="s">
        <v>21</v>
      </c>
      <c r="E5" s="7" t="s">
        <v>159</v>
      </c>
      <c r="F5" s="7" t="s">
        <v>591</v>
      </c>
      <c r="G5" s="7" t="s">
        <v>431</v>
      </c>
      <c r="H5" s="7"/>
      <c r="I5" s="7" t="s">
        <v>74</v>
      </c>
      <c r="J5" s="7"/>
      <c r="K5" s="7"/>
      <c r="L5" s="7"/>
      <c r="M5" s="7" t="s">
        <v>327</v>
      </c>
      <c r="N5" s="46"/>
      <c r="O5" s="7"/>
      <c r="P5" s="46">
        <v>3</v>
      </c>
      <c r="Q5" s="76" t="s">
        <v>592</v>
      </c>
      <c r="R5" t="s">
        <v>593</v>
      </c>
    </row>
    <row r="6" spans="1:18" ht="14.45">
      <c r="A6" s="7" t="s">
        <v>594</v>
      </c>
      <c r="B6" s="7" t="s">
        <v>351</v>
      </c>
      <c r="C6" s="7">
        <v>255</v>
      </c>
      <c r="D6" s="7" t="s">
        <v>21</v>
      </c>
      <c r="E6" s="7" t="s">
        <v>159</v>
      </c>
      <c r="F6" s="7" t="s">
        <v>3</v>
      </c>
      <c r="G6" s="7" t="s">
        <v>325</v>
      </c>
      <c r="H6" s="7">
        <v>255</v>
      </c>
      <c r="I6" s="7" t="s">
        <v>74</v>
      </c>
      <c r="J6" s="7"/>
      <c r="K6" s="7"/>
      <c r="L6" s="7"/>
      <c r="M6" s="7" t="s">
        <v>327</v>
      </c>
      <c r="N6" s="46"/>
      <c r="O6" s="7"/>
      <c r="P6" s="46">
        <v>4</v>
      </c>
      <c r="Q6" s="76" t="s">
        <v>595</v>
      </c>
      <c r="R6" t="s">
        <v>596</v>
      </c>
    </row>
    <row r="7" spans="1:18" ht="14.45">
      <c r="A7" s="7" t="s">
        <v>597</v>
      </c>
      <c r="B7" s="7" t="s">
        <v>431</v>
      </c>
      <c r="C7" s="7"/>
      <c r="D7" s="7" t="s">
        <v>21</v>
      </c>
      <c r="E7" s="7" t="s">
        <v>159</v>
      </c>
      <c r="F7" s="7" t="s">
        <v>598</v>
      </c>
      <c r="G7" s="7" t="s">
        <v>431</v>
      </c>
      <c r="H7" s="7"/>
      <c r="I7" s="7" t="s">
        <v>74</v>
      </c>
      <c r="J7" s="7"/>
      <c r="K7" s="7"/>
      <c r="L7" s="7"/>
      <c r="M7" s="7">
        <v>-1</v>
      </c>
      <c r="N7" s="46"/>
      <c r="O7" s="7"/>
      <c r="P7" s="46">
        <v>5</v>
      </c>
      <c r="Q7" s="76" t="s">
        <v>599</v>
      </c>
      <c r="R7" t="s">
        <v>600</v>
      </c>
    </row>
    <row r="8" spans="1:18" ht="14.45">
      <c r="A8" s="7" t="s">
        <v>345</v>
      </c>
      <c r="B8" s="7" t="s">
        <v>346</v>
      </c>
      <c r="C8" s="7"/>
      <c r="D8" s="7" t="s">
        <v>21</v>
      </c>
      <c r="E8" s="7" t="s">
        <v>159</v>
      </c>
      <c r="F8" s="7" t="s">
        <v>347</v>
      </c>
      <c r="G8" s="7" t="s">
        <v>346</v>
      </c>
      <c r="H8" s="7"/>
      <c r="I8" s="7" t="s">
        <v>98</v>
      </c>
      <c r="J8" s="7"/>
      <c r="K8" s="7"/>
      <c r="L8" s="7"/>
      <c r="M8" s="7" t="b">
        <v>0</v>
      </c>
      <c r="N8" s="46"/>
      <c r="O8" s="7"/>
      <c r="P8" s="46">
        <v>6</v>
      </c>
      <c r="Q8" s="76" t="s">
        <v>601</v>
      </c>
      <c r="R8" t="s">
        <v>602</v>
      </c>
    </row>
    <row r="9" spans="1:18" ht="14.45">
      <c r="A9" s="8" t="s">
        <v>350</v>
      </c>
      <c r="B9" s="8" t="s">
        <v>351</v>
      </c>
      <c r="C9" s="8">
        <v>100</v>
      </c>
      <c r="D9" s="8" t="s">
        <v>320</v>
      </c>
      <c r="E9" s="8"/>
      <c r="F9" s="8"/>
      <c r="G9" s="8"/>
      <c r="H9" s="8"/>
      <c r="I9" s="8"/>
      <c r="J9" s="8"/>
      <c r="K9" s="8"/>
      <c r="L9" s="8"/>
      <c r="M9" s="8" t="s">
        <v>327</v>
      </c>
      <c r="N9" s="46"/>
      <c r="O9" s="7"/>
      <c r="P9" s="46">
        <v>7</v>
      </c>
      <c r="Q9" s="76" t="s">
        <v>603</v>
      </c>
      <c r="R9" t="s">
        <v>604</v>
      </c>
    </row>
    <row r="10" spans="1:18" ht="14.45">
      <c r="A10" s="8" t="s">
        <v>354</v>
      </c>
      <c r="B10" s="8" t="s">
        <v>351</v>
      </c>
      <c r="C10" s="8">
        <v>100</v>
      </c>
      <c r="D10" s="8" t="s">
        <v>320</v>
      </c>
      <c r="E10" s="8"/>
      <c r="F10" s="8"/>
      <c r="G10" s="8"/>
      <c r="H10" s="8"/>
      <c r="I10" s="8"/>
      <c r="J10" s="8"/>
      <c r="K10" s="8"/>
      <c r="L10" s="8"/>
      <c r="M10" s="8" t="s">
        <v>327</v>
      </c>
      <c r="N10" s="46"/>
      <c r="O10" s="7"/>
      <c r="P10" s="46">
        <v>8</v>
      </c>
      <c r="Q10" s="76" t="s">
        <v>605</v>
      </c>
      <c r="R10" t="s">
        <v>606</v>
      </c>
    </row>
    <row r="11" spans="1:18" ht="14.45">
      <c r="A11" s="8" t="s">
        <v>357</v>
      </c>
      <c r="B11" s="8" t="s">
        <v>351</v>
      </c>
      <c r="C11" s="8">
        <v>100</v>
      </c>
      <c r="D11" s="8" t="s">
        <v>320</v>
      </c>
      <c r="E11" s="8"/>
      <c r="F11" s="8"/>
      <c r="G11" s="8"/>
      <c r="H11" s="8"/>
      <c r="I11" s="8"/>
      <c r="J11" s="8"/>
      <c r="K11" s="8"/>
      <c r="L11" s="8"/>
      <c r="M11" s="8" t="s">
        <v>327</v>
      </c>
      <c r="N11" s="46"/>
      <c r="O11" s="7"/>
      <c r="P11" s="46">
        <v>9</v>
      </c>
      <c r="Q11" s="76" t="s">
        <v>607</v>
      </c>
      <c r="R11" t="s">
        <v>608</v>
      </c>
    </row>
    <row r="12" spans="1:18" ht="14.45">
      <c r="A12" s="8" t="s">
        <v>360</v>
      </c>
      <c r="B12" s="8" t="s">
        <v>351</v>
      </c>
      <c r="C12" s="8">
        <v>100</v>
      </c>
      <c r="D12" s="8" t="s">
        <v>320</v>
      </c>
      <c r="E12" s="8"/>
      <c r="F12" s="8"/>
      <c r="G12" s="8"/>
      <c r="H12" s="8"/>
      <c r="I12" s="8"/>
      <c r="J12" s="8"/>
      <c r="K12" s="8"/>
      <c r="L12" s="8"/>
      <c r="M12" s="8" t="s">
        <v>327</v>
      </c>
      <c r="N12" s="46"/>
      <c r="O12" s="7"/>
      <c r="P12" s="46">
        <v>10</v>
      </c>
      <c r="Q12" s="76" t="s">
        <v>609</v>
      </c>
      <c r="R12" t="s">
        <v>610</v>
      </c>
    </row>
    <row r="13" spans="1:18" ht="14.45">
      <c r="A13" s="8" t="s">
        <v>363</v>
      </c>
      <c r="B13" s="8" t="s">
        <v>351</v>
      </c>
      <c r="C13" s="8">
        <v>100</v>
      </c>
      <c r="D13" s="8" t="s">
        <v>320</v>
      </c>
      <c r="E13" s="8"/>
      <c r="F13" s="8"/>
      <c r="G13" s="8"/>
      <c r="H13" s="8"/>
      <c r="I13" s="8"/>
      <c r="J13" s="8"/>
      <c r="K13" s="8"/>
      <c r="L13" s="8"/>
      <c r="M13" s="8" t="s">
        <v>327</v>
      </c>
      <c r="N13" s="46"/>
      <c r="O13" s="7"/>
      <c r="P13" s="46">
        <v>11</v>
      </c>
      <c r="Q13" s="76" t="s">
        <v>611</v>
      </c>
      <c r="R13" t="s">
        <v>612</v>
      </c>
    </row>
    <row r="14" spans="1:18" ht="14.45">
      <c r="A14" s="8" t="s">
        <v>366</v>
      </c>
      <c r="B14" s="8" t="s">
        <v>367</v>
      </c>
      <c r="C14" s="8"/>
      <c r="D14" s="8" t="s">
        <v>320</v>
      </c>
      <c r="E14" s="8"/>
      <c r="F14" s="8"/>
      <c r="G14" s="8"/>
      <c r="H14" s="8"/>
      <c r="I14" s="8"/>
      <c r="J14" s="8"/>
      <c r="K14" s="8"/>
      <c r="L14" s="8"/>
      <c r="M14" s="8" t="s">
        <v>368</v>
      </c>
      <c r="N14" s="46"/>
      <c r="O14" s="7"/>
      <c r="P14" s="46">
        <v>12</v>
      </c>
      <c r="Q14" s="76" t="s">
        <v>613</v>
      </c>
      <c r="R14" t="s">
        <v>614</v>
      </c>
    </row>
    <row r="15" spans="1:18" ht="14.45">
      <c r="A15" s="8" t="s">
        <v>371</v>
      </c>
      <c r="B15" s="8" t="s">
        <v>367</v>
      </c>
      <c r="C15" s="8"/>
      <c r="D15" s="8" t="s">
        <v>320</v>
      </c>
      <c r="E15" s="8"/>
      <c r="F15" s="8"/>
      <c r="G15" s="8"/>
      <c r="H15" s="8"/>
      <c r="I15" s="8"/>
      <c r="J15" s="8"/>
      <c r="K15" s="8"/>
      <c r="L15" s="8"/>
      <c r="M15" s="8" t="s">
        <v>368</v>
      </c>
      <c r="N15" s="46"/>
      <c r="O15" s="7"/>
      <c r="P15" s="46">
        <v>13</v>
      </c>
      <c r="Q15" s="76" t="s">
        <v>615</v>
      </c>
      <c r="R15" t="s">
        <v>616</v>
      </c>
    </row>
    <row r="16" spans="1:18" ht="14.45">
      <c r="A16" s="8" t="s">
        <v>374</v>
      </c>
      <c r="B16" s="8" t="s">
        <v>351</v>
      </c>
      <c r="C16" s="8">
        <v>100</v>
      </c>
      <c r="D16" s="8" t="s">
        <v>320</v>
      </c>
      <c r="E16" s="8"/>
      <c r="F16" s="8"/>
      <c r="G16" s="8"/>
      <c r="H16" s="8"/>
      <c r="I16" s="8"/>
      <c r="J16" s="8"/>
      <c r="K16" s="8"/>
      <c r="L16" s="8"/>
      <c r="M16" s="8" t="s">
        <v>327</v>
      </c>
      <c r="N16" s="46"/>
      <c r="O16" s="7"/>
      <c r="P16" s="46">
        <v>14</v>
      </c>
      <c r="Q16" s="76" t="s">
        <v>617</v>
      </c>
      <c r="R16" t="s">
        <v>618</v>
      </c>
    </row>
    <row r="20" spans="1:3" ht="14.45">
      <c r="A20" s="21"/>
      <c r="B20" s="21"/>
      <c r="C20" s="21"/>
    </row>
    <row r="21" spans="1:3" ht="14.45">
      <c r="A21" s="35"/>
      <c r="B21" s="35"/>
      <c r="C21" s="35"/>
    </row>
  </sheetData>
  <conditionalFormatting sqref="Q4:Q5">
    <cfRule type="duplicateValues" dxfId="259" priority="2"/>
  </conditionalFormatting>
  <conditionalFormatting sqref="Q3:Q16">
    <cfRule type="duplicateValues" dxfId="258"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rgb="FF92D050"/>
  </sheetPr>
  <dimension ref="A1:R24"/>
  <sheetViews>
    <sheetView workbookViewId="0">
      <selection activeCell="H8" sqref="H8"/>
    </sheetView>
  </sheetViews>
  <sheetFormatPr defaultRowHeight="15" customHeight="1"/>
  <cols>
    <col min="1" max="1" width="34" customWidth="1"/>
    <col min="2" max="2" width="16" customWidth="1"/>
    <col min="3" max="3" width="17.85546875" customWidth="1"/>
    <col min="4" max="4" width="20.7109375" customWidth="1"/>
    <col min="5" max="5" width="31.7109375" customWidth="1"/>
    <col min="6" max="6" width="20.710937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7.28515625" bestFit="1" customWidth="1"/>
  </cols>
  <sheetData>
    <row r="1" spans="1:18" ht="60" customHeight="1">
      <c r="A1" s="1" t="s">
        <v>170</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619</v>
      </c>
      <c r="B3" s="6" t="s">
        <v>319</v>
      </c>
      <c r="C3" s="6"/>
      <c r="D3" s="6" t="s">
        <v>320</v>
      </c>
      <c r="E3" s="6"/>
      <c r="F3" s="6"/>
      <c r="G3" s="6" t="s">
        <v>319</v>
      </c>
      <c r="H3" s="6"/>
      <c r="I3" s="6" t="s">
        <v>98</v>
      </c>
      <c r="J3" s="6" t="s">
        <v>321</v>
      </c>
      <c r="K3" s="6"/>
      <c r="L3" s="6"/>
      <c r="M3" s="6">
        <v>-1</v>
      </c>
      <c r="N3" s="46"/>
      <c r="O3" s="7"/>
      <c r="P3" s="46">
        <v>1</v>
      </c>
      <c r="Q3" s="76" t="s">
        <v>620</v>
      </c>
      <c r="R3" s="76" t="s">
        <v>621</v>
      </c>
    </row>
    <row r="4" spans="1:18" ht="14.45">
      <c r="A4" s="9" t="s">
        <v>622</v>
      </c>
      <c r="B4" s="9" t="s">
        <v>351</v>
      </c>
      <c r="C4" s="9">
        <v>2</v>
      </c>
      <c r="D4" s="9" t="s">
        <v>21</v>
      </c>
      <c r="E4" s="9" t="s">
        <v>171</v>
      </c>
      <c r="F4" s="9" t="s">
        <v>623</v>
      </c>
      <c r="G4" s="9" t="s">
        <v>325</v>
      </c>
      <c r="H4" s="9">
        <v>255</v>
      </c>
      <c r="I4" s="9" t="s">
        <v>98</v>
      </c>
      <c r="J4" s="9"/>
      <c r="K4" s="9"/>
      <c r="L4" s="9"/>
      <c r="M4" s="9" t="s">
        <v>327</v>
      </c>
      <c r="N4" s="46"/>
      <c r="O4" s="7"/>
      <c r="P4" s="46">
        <v>2</v>
      </c>
      <c r="Q4" s="76" t="s">
        <v>624</v>
      </c>
      <c r="R4" s="76" t="s">
        <v>625</v>
      </c>
    </row>
    <row r="5" spans="1:18" ht="14.45">
      <c r="A5" s="7" t="s">
        <v>626</v>
      </c>
      <c r="B5" s="7" t="s">
        <v>351</v>
      </c>
      <c r="C5" s="7">
        <v>40</v>
      </c>
      <c r="D5" s="7" t="s">
        <v>21</v>
      </c>
      <c r="E5" s="7" t="s">
        <v>171</v>
      </c>
      <c r="F5" s="7" t="s">
        <v>627</v>
      </c>
      <c r="G5" s="7" t="s">
        <v>325</v>
      </c>
      <c r="H5" s="7">
        <v>255</v>
      </c>
      <c r="I5" s="7" t="s">
        <v>74</v>
      </c>
      <c r="J5" s="7"/>
      <c r="K5" s="7"/>
      <c r="L5" s="7"/>
      <c r="M5" s="7" t="s">
        <v>327</v>
      </c>
      <c r="N5" s="46"/>
      <c r="O5" s="7"/>
      <c r="P5" s="46">
        <v>3</v>
      </c>
      <c r="Q5" s="76" t="s">
        <v>628</v>
      </c>
      <c r="R5" s="76" t="s">
        <v>629</v>
      </c>
    </row>
    <row r="6" spans="1:18" ht="14.45">
      <c r="A6" s="7" t="s">
        <v>630</v>
      </c>
      <c r="B6" s="7" t="s">
        <v>351</v>
      </c>
      <c r="C6" s="7">
        <v>50</v>
      </c>
      <c r="D6" s="7" t="s">
        <v>21</v>
      </c>
      <c r="E6" s="7" t="s">
        <v>171</v>
      </c>
      <c r="F6" s="7" t="s">
        <v>631</v>
      </c>
      <c r="G6" s="7" t="s">
        <v>325</v>
      </c>
      <c r="H6" s="7">
        <v>255</v>
      </c>
      <c r="I6" s="7" t="s">
        <v>98</v>
      </c>
      <c r="J6" s="7"/>
      <c r="K6" s="7"/>
      <c r="L6" s="7"/>
      <c r="M6" s="7" t="s">
        <v>327</v>
      </c>
      <c r="N6" s="46"/>
      <c r="O6" s="7"/>
      <c r="P6" s="46">
        <v>4</v>
      </c>
      <c r="Q6" s="76" t="s">
        <v>632</v>
      </c>
      <c r="R6" s="76" t="s">
        <v>633</v>
      </c>
    </row>
    <row r="7" spans="1:18" ht="14.45">
      <c r="A7" s="7" t="s">
        <v>634</v>
      </c>
      <c r="B7" s="7" t="s">
        <v>351</v>
      </c>
      <c r="C7" s="7">
        <v>255</v>
      </c>
      <c r="D7" s="7" t="s">
        <v>21</v>
      </c>
      <c r="E7" s="7" t="s">
        <v>171</v>
      </c>
      <c r="F7" s="7" t="s">
        <v>635</v>
      </c>
      <c r="G7" s="7" t="s">
        <v>325</v>
      </c>
      <c r="H7" s="7">
        <v>255</v>
      </c>
      <c r="I7" s="7" t="s">
        <v>74</v>
      </c>
      <c r="J7" s="7"/>
      <c r="K7" s="7"/>
      <c r="L7" s="7"/>
      <c r="M7" s="7" t="s">
        <v>327</v>
      </c>
      <c r="N7" s="46"/>
      <c r="O7" s="7"/>
      <c r="P7" s="46">
        <v>5</v>
      </c>
      <c r="Q7" s="76" t="s">
        <v>636</v>
      </c>
      <c r="R7" s="76" t="s">
        <v>637</v>
      </c>
    </row>
    <row r="8" spans="1:18" ht="14.45">
      <c r="A8" s="7" t="s">
        <v>345</v>
      </c>
      <c r="B8" s="7" t="s">
        <v>346</v>
      </c>
      <c r="C8" s="7"/>
      <c r="D8" s="7" t="s">
        <v>21</v>
      </c>
      <c r="E8" s="7" t="s">
        <v>171</v>
      </c>
      <c r="F8" s="7" t="s">
        <v>347</v>
      </c>
      <c r="G8" s="7" t="s">
        <v>346</v>
      </c>
      <c r="H8" s="7"/>
      <c r="I8" s="7" t="s">
        <v>98</v>
      </c>
      <c r="J8" s="7"/>
      <c r="K8" s="7"/>
      <c r="L8" s="7"/>
      <c r="M8" s="7" t="b">
        <v>0</v>
      </c>
      <c r="N8" s="46"/>
      <c r="O8" s="7"/>
      <c r="P8" s="46">
        <v>6</v>
      </c>
      <c r="Q8" s="76" t="s">
        <v>638</v>
      </c>
      <c r="R8" s="76" t="s">
        <v>639</v>
      </c>
    </row>
    <row r="9" spans="1:18" ht="14.45">
      <c r="A9" s="8" t="s">
        <v>350</v>
      </c>
      <c r="B9" s="8" t="s">
        <v>351</v>
      </c>
      <c r="C9" s="8">
        <v>100</v>
      </c>
      <c r="D9" s="8" t="s">
        <v>320</v>
      </c>
      <c r="E9" s="8"/>
      <c r="F9" s="8"/>
      <c r="G9" s="8"/>
      <c r="H9" s="8"/>
      <c r="I9" s="8"/>
      <c r="J9" s="8"/>
      <c r="K9" s="8"/>
      <c r="L9" s="8"/>
      <c r="M9" s="8" t="s">
        <v>327</v>
      </c>
      <c r="N9" s="46"/>
      <c r="O9" s="7"/>
      <c r="P9" s="46">
        <v>7</v>
      </c>
      <c r="Q9" s="76" t="s">
        <v>640</v>
      </c>
      <c r="R9" s="76" t="s">
        <v>641</v>
      </c>
    </row>
    <row r="10" spans="1:18" ht="14.45">
      <c r="A10" s="8" t="s">
        <v>354</v>
      </c>
      <c r="B10" s="8" t="s">
        <v>351</v>
      </c>
      <c r="C10" s="8">
        <v>100</v>
      </c>
      <c r="D10" s="8" t="s">
        <v>320</v>
      </c>
      <c r="E10" s="8"/>
      <c r="F10" s="8"/>
      <c r="G10" s="8"/>
      <c r="H10" s="8"/>
      <c r="I10" s="8"/>
      <c r="J10" s="8"/>
      <c r="K10" s="8"/>
      <c r="L10" s="8"/>
      <c r="M10" s="8" t="s">
        <v>327</v>
      </c>
      <c r="N10" s="46"/>
      <c r="O10" s="7"/>
      <c r="P10" s="46">
        <v>8</v>
      </c>
      <c r="Q10" s="76" t="s">
        <v>642</v>
      </c>
      <c r="R10" s="76" t="s">
        <v>643</v>
      </c>
    </row>
    <row r="11" spans="1:18" ht="14.45">
      <c r="A11" s="8" t="s">
        <v>357</v>
      </c>
      <c r="B11" s="8" t="s">
        <v>351</v>
      </c>
      <c r="C11" s="8">
        <v>100</v>
      </c>
      <c r="D11" s="8" t="s">
        <v>320</v>
      </c>
      <c r="E11" s="8"/>
      <c r="F11" s="8"/>
      <c r="G11" s="8"/>
      <c r="H11" s="8"/>
      <c r="I11" s="8"/>
      <c r="J11" s="8"/>
      <c r="K11" s="8"/>
      <c r="L11" s="8"/>
      <c r="M11" s="8" t="s">
        <v>327</v>
      </c>
      <c r="N11" s="46"/>
      <c r="O11" s="7"/>
      <c r="P11" s="46">
        <v>9</v>
      </c>
      <c r="Q11" s="76" t="s">
        <v>644</v>
      </c>
      <c r="R11" s="76" t="s">
        <v>645</v>
      </c>
    </row>
    <row r="12" spans="1:18" ht="14.45">
      <c r="A12" s="8" t="s">
        <v>360</v>
      </c>
      <c r="B12" s="8" t="s">
        <v>351</v>
      </c>
      <c r="C12" s="8">
        <v>100</v>
      </c>
      <c r="D12" s="8" t="s">
        <v>320</v>
      </c>
      <c r="E12" s="8"/>
      <c r="F12" s="8"/>
      <c r="G12" s="8"/>
      <c r="H12" s="8"/>
      <c r="I12" s="8"/>
      <c r="J12" s="8"/>
      <c r="K12" s="8"/>
      <c r="L12" s="8"/>
      <c r="M12" s="8" t="s">
        <v>327</v>
      </c>
      <c r="N12" s="46"/>
      <c r="O12" s="7"/>
      <c r="P12" s="46">
        <v>10</v>
      </c>
      <c r="Q12" s="76" t="s">
        <v>646</v>
      </c>
      <c r="R12" s="76" t="s">
        <v>647</v>
      </c>
    </row>
    <row r="13" spans="1:18" ht="14.45">
      <c r="A13" s="8" t="s">
        <v>363</v>
      </c>
      <c r="B13" s="8" t="s">
        <v>351</v>
      </c>
      <c r="C13" s="8">
        <v>100</v>
      </c>
      <c r="D13" s="8" t="s">
        <v>320</v>
      </c>
      <c r="E13" s="8"/>
      <c r="F13" s="8"/>
      <c r="G13" s="8"/>
      <c r="H13" s="8"/>
      <c r="I13" s="8"/>
      <c r="J13" s="8"/>
      <c r="K13" s="8"/>
      <c r="L13" s="8"/>
      <c r="M13" s="8" t="s">
        <v>327</v>
      </c>
      <c r="N13" s="46"/>
      <c r="O13" s="7"/>
      <c r="P13" s="46">
        <v>11</v>
      </c>
      <c r="Q13" s="76" t="s">
        <v>648</v>
      </c>
      <c r="R13" s="76" t="s">
        <v>649</v>
      </c>
    </row>
    <row r="14" spans="1:18" ht="14.45">
      <c r="A14" s="8" t="s">
        <v>366</v>
      </c>
      <c r="B14" s="8" t="s">
        <v>367</v>
      </c>
      <c r="C14" s="8"/>
      <c r="D14" s="8" t="s">
        <v>320</v>
      </c>
      <c r="E14" s="8"/>
      <c r="F14" s="8"/>
      <c r="G14" s="8"/>
      <c r="H14" s="8"/>
      <c r="I14" s="8"/>
      <c r="J14" s="8"/>
      <c r="K14" s="8"/>
      <c r="L14" s="8"/>
      <c r="M14" s="8" t="s">
        <v>368</v>
      </c>
      <c r="N14" s="46"/>
      <c r="O14" s="7"/>
      <c r="P14" s="46">
        <v>12</v>
      </c>
      <c r="Q14" s="76" t="s">
        <v>650</v>
      </c>
      <c r="R14" s="76" t="s">
        <v>651</v>
      </c>
    </row>
    <row r="15" spans="1:18" ht="14.45">
      <c r="A15" s="8" t="s">
        <v>371</v>
      </c>
      <c r="B15" s="8" t="s">
        <v>367</v>
      </c>
      <c r="C15" s="8"/>
      <c r="D15" s="8" t="s">
        <v>320</v>
      </c>
      <c r="E15" s="8"/>
      <c r="F15" s="8"/>
      <c r="G15" s="8"/>
      <c r="H15" s="8"/>
      <c r="I15" s="8"/>
      <c r="J15" s="8"/>
      <c r="K15" s="8"/>
      <c r="L15" s="8"/>
      <c r="M15" s="8" t="s">
        <v>368</v>
      </c>
      <c r="N15" s="46"/>
      <c r="O15" s="7"/>
      <c r="P15" s="46">
        <v>13</v>
      </c>
      <c r="Q15" s="76" t="s">
        <v>652</v>
      </c>
      <c r="R15" s="76" t="s">
        <v>653</v>
      </c>
    </row>
    <row r="16" spans="1:18" ht="14.45">
      <c r="A16" s="8" t="s">
        <v>374</v>
      </c>
      <c r="B16" s="8" t="s">
        <v>351</v>
      </c>
      <c r="C16" s="8">
        <v>100</v>
      </c>
      <c r="D16" s="8" t="s">
        <v>320</v>
      </c>
      <c r="E16" s="8"/>
      <c r="F16" s="8"/>
      <c r="G16" s="8"/>
      <c r="H16" s="8"/>
      <c r="I16" s="8"/>
      <c r="J16" s="8"/>
      <c r="K16" s="8"/>
      <c r="L16" s="8"/>
      <c r="M16" s="8" t="s">
        <v>327</v>
      </c>
      <c r="N16" s="46"/>
      <c r="O16" s="7"/>
      <c r="P16" s="46">
        <v>14</v>
      </c>
      <c r="Q16" s="76" t="s">
        <v>654</v>
      </c>
      <c r="R16" s="76" t="s">
        <v>655</v>
      </c>
    </row>
    <row r="22" spans="1:3" ht="14.45">
      <c r="A22" s="21"/>
      <c r="B22" s="21"/>
      <c r="C22" s="21"/>
    </row>
    <row r="23" spans="1:3" ht="14.45">
      <c r="A23" s="35"/>
      <c r="B23" s="35"/>
      <c r="C23" s="35"/>
    </row>
    <row r="24" spans="1:3" ht="14.45"/>
  </sheetData>
  <conditionalFormatting sqref="Q4">
    <cfRule type="duplicateValues" dxfId="257" priority="2"/>
  </conditionalFormatting>
  <conditionalFormatting sqref="Q3:Q16">
    <cfRule type="duplicateValues" dxfId="256" priority="1"/>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6CAB-5F83-4FA6-B5CB-D11839E3C4FD}">
  <sheetPr>
    <tabColor rgb="FF92D050"/>
  </sheetPr>
  <dimension ref="A1:R20"/>
  <sheetViews>
    <sheetView workbookViewId="0">
      <selection activeCell="I7" sqref="I7"/>
    </sheetView>
  </sheetViews>
  <sheetFormatPr defaultRowHeight="15" customHeight="1"/>
  <cols>
    <col min="1" max="1" width="36.85546875" customWidth="1"/>
    <col min="2" max="2" width="18.42578125" customWidth="1"/>
    <col min="3" max="3" width="18" customWidth="1"/>
    <col min="4" max="4" width="20.7109375" customWidth="1"/>
    <col min="5" max="5" width="31.5703125" customWidth="1"/>
    <col min="6" max="6" width="20.7109375" customWidth="1"/>
    <col min="7" max="9" width="15.7109375" customWidth="1"/>
    <col min="10" max="14" width="20.7109375" customWidth="1"/>
    <col min="17" max="17" width="38.28515625" bestFit="1" customWidth="1"/>
    <col min="18" max="18" width="44.5703125" bestFit="1" customWidth="1"/>
  </cols>
  <sheetData>
    <row r="1" spans="1:18" ht="60" customHeight="1">
      <c r="A1" s="1" t="s">
        <v>175</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656</v>
      </c>
      <c r="B3" s="6" t="s">
        <v>319</v>
      </c>
      <c r="C3" s="6"/>
      <c r="D3" s="6" t="s">
        <v>320</v>
      </c>
      <c r="E3" s="6"/>
      <c r="F3" s="6"/>
      <c r="G3" s="6"/>
      <c r="H3" s="6"/>
      <c r="I3" s="6" t="s">
        <v>98</v>
      </c>
      <c r="J3" s="6"/>
      <c r="K3" s="6"/>
      <c r="L3" s="6"/>
      <c r="M3" s="6">
        <v>-1</v>
      </c>
      <c r="N3" s="46"/>
      <c r="O3" s="7"/>
      <c r="P3" s="46">
        <v>1</v>
      </c>
      <c r="Q3" s="76" t="s">
        <v>657</v>
      </c>
      <c r="R3" s="76" t="s">
        <v>658</v>
      </c>
    </row>
    <row r="4" spans="1:18" ht="14.45">
      <c r="A4" s="9" t="s">
        <v>659</v>
      </c>
      <c r="B4" s="9" t="s">
        <v>351</v>
      </c>
      <c r="C4" s="9">
        <v>50</v>
      </c>
      <c r="D4" s="9" t="s">
        <v>21</v>
      </c>
      <c r="E4" s="9" t="s">
        <v>660</v>
      </c>
      <c r="F4" s="9" t="s">
        <v>661</v>
      </c>
      <c r="G4" s="9" t="s">
        <v>325</v>
      </c>
      <c r="H4" s="9">
        <v>255</v>
      </c>
      <c r="I4" s="9" t="s">
        <v>98</v>
      </c>
      <c r="J4" s="9"/>
      <c r="K4" s="9"/>
      <c r="L4" s="9" t="s">
        <v>662</v>
      </c>
      <c r="M4" s="9" t="s">
        <v>327</v>
      </c>
      <c r="N4" s="46"/>
      <c r="O4" s="7"/>
      <c r="P4" s="46">
        <v>2</v>
      </c>
      <c r="Q4" s="76" t="s">
        <v>663</v>
      </c>
      <c r="R4" s="76" t="s">
        <v>664</v>
      </c>
    </row>
    <row r="5" spans="1:18" ht="14.45">
      <c r="A5" s="7" t="s">
        <v>665</v>
      </c>
      <c r="B5" s="7" t="s">
        <v>351</v>
      </c>
      <c r="C5" s="7">
        <v>255</v>
      </c>
      <c r="D5" s="7" t="s">
        <v>21</v>
      </c>
      <c r="E5" s="7" t="s">
        <v>660</v>
      </c>
      <c r="F5" s="7" t="s">
        <v>3</v>
      </c>
      <c r="G5" s="7" t="s">
        <v>325</v>
      </c>
      <c r="H5" s="7">
        <v>255</v>
      </c>
      <c r="I5" s="7" t="s">
        <v>74</v>
      </c>
      <c r="J5" s="7"/>
      <c r="K5" s="7"/>
      <c r="L5" s="7"/>
      <c r="M5" s="7" t="s">
        <v>327</v>
      </c>
      <c r="N5" s="46"/>
      <c r="O5" s="7"/>
      <c r="P5" s="46">
        <v>3</v>
      </c>
      <c r="Q5" s="76" t="s">
        <v>666</v>
      </c>
      <c r="R5" s="76" t="s">
        <v>667</v>
      </c>
    </row>
    <row r="6" spans="1:18" ht="14.45">
      <c r="A6" s="7" t="s">
        <v>345</v>
      </c>
      <c r="B6" s="7" t="s">
        <v>346</v>
      </c>
      <c r="C6" s="7"/>
      <c r="D6" s="7" t="s">
        <v>21</v>
      </c>
      <c r="E6" s="7" t="s">
        <v>660</v>
      </c>
      <c r="F6" s="7" t="s">
        <v>347</v>
      </c>
      <c r="G6" s="7" t="s">
        <v>346</v>
      </c>
      <c r="H6" s="7"/>
      <c r="I6" s="7" t="s">
        <v>98</v>
      </c>
      <c r="J6" s="7"/>
      <c r="K6" s="7"/>
      <c r="L6" s="7"/>
      <c r="M6" s="7" t="b">
        <v>0</v>
      </c>
      <c r="N6" s="46"/>
      <c r="O6" s="7"/>
      <c r="P6" s="46">
        <v>4</v>
      </c>
      <c r="Q6" s="76" t="s">
        <v>668</v>
      </c>
      <c r="R6" s="76" t="s">
        <v>669</v>
      </c>
    </row>
    <row r="7" spans="1:18" ht="14.45">
      <c r="A7" s="8" t="s">
        <v>350</v>
      </c>
      <c r="B7" s="8" t="s">
        <v>351</v>
      </c>
      <c r="C7" s="8">
        <v>100</v>
      </c>
      <c r="D7" s="8" t="s">
        <v>320</v>
      </c>
      <c r="E7" s="8"/>
      <c r="F7" s="8"/>
      <c r="G7" s="8"/>
      <c r="H7" s="8"/>
      <c r="I7" s="8"/>
      <c r="J7" s="8"/>
      <c r="K7" s="8"/>
      <c r="L7" s="8"/>
      <c r="M7" s="8" t="s">
        <v>327</v>
      </c>
      <c r="N7" s="46"/>
      <c r="O7" s="7"/>
      <c r="P7" s="46">
        <v>5</v>
      </c>
      <c r="Q7" s="76" t="s">
        <v>670</v>
      </c>
      <c r="R7" s="76" t="s">
        <v>671</v>
      </c>
    </row>
    <row r="8" spans="1:18" ht="14.45">
      <c r="A8" s="8" t="s">
        <v>354</v>
      </c>
      <c r="B8" s="8" t="s">
        <v>351</v>
      </c>
      <c r="C8" s="8">
        <v>100</v>
      </c>
      <c r="D8" s="8" t="s">
        <v>320</v>
      </c>
      <c r="E8" s="8"/>
      <c r="F8" s="8"/>
      <c r="G8" s="8"/>
      <c r="H8" s="8"/>
      <c r="I8" s="8"/>
      <c r="J8" s="8"/>
      <c r="K8" s="8"/>
      <c r="L8" s="8"/>
      <c r="M8" s="8" t="s">
        <v>327</v>
      </c>
      <c r="N8" s="46"/>
      <c r="O8" s="7"/>
      <c r="P8" s="46">
        <v>6</v>
      </c>
      <c r="Q8" s="76" t="s">
        <v>672</v>
      </c>
      <c r="R8" s="76" t="s">
        <v>673</v>
      </c>
    </row>
    <row r="9" spans="1:18" ht="14.45">
      <c r="A9" s="8" t="s">
        <v>357</v>
      </c>
      <c r="B9" s="8" t="s">
        <v>351</v>
      </c>
      <c r="C9" s="8">
        <v>100</v>
      </c>
      <c r="D9" s="8" t="s">
        <v>320</v>
      </c>
      <c r="E9" s="8"/>
      <c r="F9" s="8"/>
      <c r="G9" s="8"/>
      <c r="H9" s="8"/>
      <c r="I9" s="8"/>
      <c r="J9" s="8"/>
      <c r="K9" s="8"/>
      <c r="L9" s="8"/>
      <c r="M9" s="8" t="s">
        <v>327</v>
      </c>
      <c r="N9" s="46"/>
      <c r="O9" s="7"/>
      <c r="P9" s="46">
        <v>7</v>
      </c>
      <c r="Q9" s="76" t="s">
        <v>674</v>
      </c>
      <c r="R9" s="76" t="s">
        <v>675</v>
      </c>
    </row>
    <row r="10" spans="1:18" ht="14.45">
      <c r="A10" s="8" t="s">
        <v>360</v>
      </c>
      <c r="B10" s="8" t="s">
        <v>351</v>
      </c>
      <c r="C10" s="8">
        <v>100</v>
      </c>
      <c r="D10" s="8" t="s">
        <v>320</v>
      </c>
      <c r="E10" s="8"/>
      <c r="F10" s="8"/>
      <c r="G10" s="8"/>
      <c r="H10" s="8"/>
      <c r="I10" s="8"/>
      <c r="J10" s="8"/>
      <c r="K10" s="8"/>
      <c r="L10" s="8"/>
      <c r="M10" s="8" t="s">
        <v>327</v>
      </c>
      <c r="N10" s="46"/>
      <c r="O10" s="7"/>
      <c r="P10" s="46">
        <v>8</v>
      </c>
      <c r="Q10" s="76" t="s">
        <v>676</v>
      </c>
      <c r="R10" s="76" t="s">
        <v>677</v>
      </c>
    </row>
    <row r="11" spans="1:18" ht="14.45">
      <c r="A11" s="8" t="s">
        <v>363</v>
      </c>
      <c r="B11" s="8" t="s">
        <v>351</v>
      </c>
      <c r="C11" s="8">
        <v>100</v>
      </c>
      <c r="D11" s="8" t="s">
        <v>320</v>
      </c>
      <c r="E11" s="8"/>
      <c r="F11" s="8"/>
      <c r="G11" s="8"/>
      <c r="H11" s="8"/>
      <c r="I11" s="8"/>
      <c r="J11" s="8"/>
      <c r="K11" s="8"/>
      <c r="L11" s="8"/>
      <c r="M11" s="8" t="s">
        <v>327</v>
      </c>
      <c r="N11" s="46"/>
      <c r="O11" s="7"/>
      <c r="P11" s="46">
        <v>9</v>
      </c>
      <c r="Q11" s="76" t="s">
        <v>678</v>
      </c>
      <c r="R11" s="76" t="s">
        <v>679</v>
      </c>
    </row>
    <row r="12" spans="1:18" ht="14.45">
      <c r="A12" s="8" t="s">
        <v>366</v>
      </c>
      <c r="B12" s="8" t="s">
        <v>367</v>
      </c>
      <c r="C12" s="8"/>
      <c r="D12" s="8" t="s">
        <v>320</v>
      </c>
      <c r="E12" s="8"/>
      <c r="F12" s="8"/>
      <c r="G12" s="8"/>
      <c r="H12" s="8"/>
      <c r="I12" s="8"/>
      <c r="J12" s="8"/>
      <c r="K12" s="8"/>
      <c r="L12" s="8"/>
      <c r="M12" s="8" t="s">
        <v>368</v>
      </c>
      <c r="N12" s="46"/>
      <c r="O12" s="7"/>
      <c r="P12" s="46">
        <v>10</v>
      </c>
      <c r="Q12" s="76" t="s">
        <v>680</v>
      </c>
      <c r="R12" s="76" t="s">
        <v>681</v>
      </c>
    </row>
    <row r="13" spans="1:18" ht="14.45">
      <c r="A13" s="8" t="s">
        <v>371</v>
      </c>
      <c r="B13" s="8" t="s">
        <v>367</v>
      </c>
      <c r="C13" s="8"/>
      <c r="D13" s="8" t="s">
        <v>320</v>
      </c>
      <c r="E13" s="8"/>
      <c r="F13" s="8"/>
      <c r="G13" s="8"/>
      <c r="H13" s="8"/>
      <c r="I13" s="8"/>
      <c r="J13" s="8"/>
      <c r="K13" s="8"/>
      <c r="L13" s="8"/>
      <c r="M13" s="8" t="s">
        <v>368</v>
      </c>
      <c r="N13" s="46"/>
      <c r="O13" s="7"/>
      <c r="P13" s="46">
        <v>11</v>
      </c>
      <c r="Q13" s="76" t="s">
        <v>682</v>
      </c>
      <c r="R13" s="76" t="s">
        <v>683</v>
      </c>
    </row>
    <row r="14" spans="1:18" ht="14.45">
      <c r="A14" s="8" t="s">
        <v>374</v>
      </c>
      <c r="B14" s="8" t="s">
        <v>351</v>
      </c>
      <c r="C14" s="8">
        <v>100</v>
      </c>
      <c r="D14" s="8" t="s">
        <v>320</v>
      </c>
      <c r="E14" s="8"/>
      <c r="F14" s="8"/>
      <c r="G14" s="8"/>
      <c r="H14" s="8"/>
      <c r="I14" s="8"/>
      <c r="J14" s="8"/>
      <c r="K14" s="8"/>
      <c r="L14" s="8"/>
      <c r="M14" s="8" t="s">
        <v>327</v>
      </c>
      <c r="N14" s="46"/>
      <c r="O14" s="7"/>
      <c r="P14" s="46">
        <v>12</v>
      </c>
      <c r="Q14" s="76" t="s">
        <v>684</v>
      </c>
      <c r="R14" s="76" t="s">
        <v>685</v>
      </c>
    </row>
    <row r="19" spans="1:3" ht="14.45">
      <c r="A19" s="21"/>
      <c r="B19" s="21"/>
      <c r="C19" s="21"/>
    </row>
    <row r="20" spans="1:3" ht="14.45">
      <c r="A20" s="35"/>
      <c r="B20" s="35"/>
      <c r="C20" s="35"/>
    </row>
  </sheetData>
  <conditionalFormatting sqref="Q3:Q4">
    <cfRule type="duplicateValues" dxfId="255" priority="2"/>
  </conditionalFormatting>
  <conditionalFormatting sqref="Q3:Q14">
    <cfRule type="duplicateValues" dxfId="254"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98AE7-A28B-46E1-8920-9044F8EB48C8}">
  <sheetPr>
    <tabColor rgb="FF92D050"/>
  </sheetPr>
  <dimension ref="A1:R21"/>
  <sheetViews>
    <sheetView workbookViewId="0">
      <selection activeCell="C5" sqref="C5"/>
    </sheetView>
  </sheetViews>
  <sheetFormatPr defaultRowHeight="15" customHeight="1"/>
  <cols>
    <col min="1" max="1" width="34.28515625" customWidth="1"/>
    <col min="2" max="2" width="16.140625" customWidth="1"/>
    <col min="3" max="3" width="17.140625" customWidth="1"/>
    <col min="4" max="4" width="16.5703125" customWidth="1"/>
    <col min="5" max="5" width="37.28515625" customWidth="1"/>
    <col min="6" max="6" width="26" customWidth="1"/>
    <col min="7" max="7" width="18" customWidth="1"/>
    <col min="8" max="8" width="17.42578125" customWidth="1"/>
    <col min="9" max="9" width="16.85546875" customWidth="1"/>
    <col min="10" max="10" width="44.7109375" customWidth="1"/>
    <col min="11" max="11" width="21.5703125" customWidth="1"/>
    <col min="12" max="12" width="25.42578125" customWidth="1"/>
    <col min="13" max="13" width="22" customWidth="1"/>
    <col min="14" max="14" width="15.7109375" bestFit="1" customWidth="1"/>
    <col min="15" max="15" width="39.28515625" customWidth="1"/>
    <col min="16" max="16" width="17.28515625" bestFit="1" customWidth="1"/>
    <col min="17" max="17" width="38.42578125" bestFit="1" customWidth="1"/>
    <col min="18" max="18" width="12.85546875" bestFit="1" customWidth="1"/>
  </cols>
  <sheetData>
    <row r="1" spans="1:18" ht="76.5" customHeight="1">
      <c r="A1" s="1" t="s">
        <v>182</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686</v>
      </c>
      <c r="B3" s="6" t="s">
        <v>319</v>
      </c>
      <c r="C3" s="6"/>
      <c r="D3" s="6" t="s">
        <v>320</v>
      </c>
      <c r="E3" s="6"/>
      <c r="F3" s="6"/>
      <c r="G3" s="6"/>
      <c r="H3" s="6"/>
      <c r="I3" s="6" t="s">
        <v>98</v>
      </c>
      <c r="J3" s="6" t="s">
        <v>321</v>
      </c>
      <c r="K3" s="6"/>
      <c r="L3" s="6"/>
      <c r="M3" s="6">
        <v>-1</v>
      </c>
      <c r="N3" s="46"/>
      <c r="O3" s="7" t="s">
        <v>687</v>
      </c>
      <c r="P3" s="46">
        <v>1</v>
      </c>
      <c r="Q3" t="s">
        <v>688</v>
      </c>
    </row>
    <row r="4" spans="1:18" s="38" customFormat="1" ht="14.45">
      <c r="A4" s="9" t="s">
        <v>689</v>
      </c>
      <c r="B4" s="9" t="s">
        <v>431</v>
      </c>
      <c r="C4" s="9"/>
      <c r="D4" s="9" t="s">
        <v>21</v>
      </c>
      <c r="E4" s="9" t="s">
        <v>690</v>
      </c>
      <c r="F4" s="9" t="s">
        <v>691</v>
      </c>
      <c r="G4" s="9" t="s">
        <v>431</v>
      </c>
      <c r="H4" s="9"/>
      <c r="I4" s="9" t="s">
        <v>98</v>
      </c>
      <c r="J4" s="9"/>
      <c r="K4" s="9"/>
      <c r="L4" s="9"/>
      <c r="M4" s="9">
        <v>-1</v>
      </c>
      <c r="N4" s="46"/>
      <c r="O4" s="7"/>
      <c r="P4" s="46">
        <v>2</v>
      </c>
      <c r="Q4" t="s">
        <v>692</v>
      </c>
      <c r="R4"/>
    </row>
    <row r="5" spans="1:18" ht="14.45">
      <c r="A5" s="7" t="s">
        <v>693</v>
      </c>
      <c r="B5" s="7" t="s">
        <v>351</v>
      </c>
      <c r="C5" s="7">
        <v>255</v>
      </c>
      <c r="D5" s="7" t="s">
        <v>21</v>
      </c>
      <c r="E5" s="7" t="s">
        <v>690</v>
      </c>
      <c r="F5" s="7" t="s">
        <v>694</v>
      </c>
      <c r="G5" s="7" t="s">
        <v>325</v>
      </c>
      <c r="H5" s="7">
        <v>255</v>
      </c>
      <c r="I5" s="7" t="s">
        <v>74</v>
      </c>
      <c r="J5" s="7"/>
      <c r="K5" s="7"/>
      <c r="L5" s="7"/>
      <c r="M5" s="7" t="s">
        <v>327</v>
      </c>
      <c r="N5" s="46"/>
      <c r="O5" s="7"/>
      <c r="P5" s="46">
        <v>3</v>
      </c>
      <c r="Q5" t="s">
        <v>695</v>
      </c>
    </row>
    <row r="6" spans="1:18" ht="14.45">
      <c r="A6" s="7" t="s">
        <v>345</v>
      </c>
      <c r="B6" s="7" t="s">
        <v>346</v>
      </c>
      <c r="C6" s="7"/>
      <c r="D6" s="7" t="s">
        <v>21</v>
      </c>
      <c r="E6" s="7" t="s">
        <v>690</v>
      </c>
      <c r="F6" s="7" t="s">
        <v>347</v>
      </c>
      <c r="G6" s="7" t="s">
        <v>346</v>
      </c>
      <c r="H6" s="7"/>
      <c r="I6" s="7" t="s">
        <v>98</v>
      </c>
      <c r="J6" s="7"/>
      <c r="K6" s="7"/>
      <c r="L6" s="7"/>
      <c r="M6" s="7" t="b">
        <v>0</v>
      </c>
      <c r="N6" s="46"/>
      <c r="O6" s="7"/>
      <c r="P6" s="46">
        <v>5</v>
      </c>
      <c r="Q6" t="s">
        <v>696</v>
      </c>
    </row>
    <row r="7" spans="1:18" ht="14.45">
      <c r="A7" s="8" t="s">
        <v>350</v>
      </c>
      <c r="B7" s="8" t="s">
        <v>351</v>
      </c>
      <c r="C7" s="8">
        <v>100</v>
      </c>
      <c r="D7" s="8" t="s">
        <v>320</v>
      </c>
      <c r="E7" s="8"/>
      <c r="F7" s="8"/>
      <c r="G7" s="8"/>
      <c r="H7" s="8"/>
      <c r="I7" s="8"/>
      <c r="J7" s="8"/>
      <c r="K7" s="8"/>
      <c r="L7" s="8"/>
      <c r="M7" s="8" t="s">
        <v>327</v>
      </c>
      <c r="N7" s="46"/>
      <c r="O7" s="7"/>
      <c r="P7" s="46">
        <v>7</v>
      </c>
      <c r="Q7" t="s">
        <v>697</v>
      </c>
    </row>
    <row r="8" spans="1:18" ht="14.45">
      <c r="A8" s="8" t="s">
        <v>354</v>
      </c>
      <c r="B8" s="8" t="s">
        <v>351</v>
      </c>
      <c r="C8" s="8">
        <v>100</v>
      </c>
      <c r="D8" s="8" t="s">
        <v>320</v>
      </c>
      <c r="E8" s="8"/>
      <c r="F8" s="8"/>
      <c r="G8" s="8"/>
      <c r="H8" s="8"/>
      <c r="I8" s="8"/>
      <c r="J8" s="8"/>
      <c r="K8" s="8"/>
      <c r="L8" s="8"/>
      <c r="M8" s="8" t="s">
        <v>327</v>
      </c>
      <c r="N8" s="46"/>
      <c r="O8" s="7"/>
      <c r="P8" s="46">
        <v>8</v>
      </c>
      <c r="Q8" t="s">
        <v>698</v>
      </c>
    </row>
    <row r="9" spans="1:18" ht="14.45">
      <c r="A9" s="8" t="s">
        <v>357</v>
      </c>
      <c r="B9" s="8" t="s">
        <v>351</v>
      </c>
      <c r="C9" s="8">
        <v>100</v>
      </c>
      <c r="D9" s="8" t="s">
        <v>320</v>
      </c>
      <c r="E9" s="8"/>
      <c r="F9" s="8"/>
      <c r="G9" s="8"/>
      <c r="H9" s="8"/>
      <c r="I9" s="8"/>
      <c r="J9" s="8"/>
      <c r="K9" s="8"/>
      <c r="L9" s="8"/>
      <c r="M9" s="8" t="s">
        <v>327</v>
      </c>
      <c r="N9" s="46"/>
      <c r="O9" s="7"/>
      <c r="P9" s="46">
        <v>9</v>
      </c>
      <c r="Q9" t="s">
        <v>699</v>
      </c>
    </row>
    <row r="10" spans="1:18" ht="14.45">
      <c r="A10" s="8" t="s">
        <v>360</v>
      </c>
      <c r="B10" s="8" t="s">
        <v>351</v>
      </c>
      <c r="C10" s="8">
        <v>100</v>
      </c>
      <c r="D10" s="8" t="s">
        <v>320</v>
      </c>
      <c r="E10" s="8"/>
      <c r="F10" s="8"/>
      <c r="G10" s="8"/>
      <c r="H10" s="8"/>
      <c r="I10" s="8"/>
      <c r="J10" s="8"/>
      <c r="K10" s="8"/>
      <c r="L10" s="8"/>
      <c r="M10" s="8" t="s">
        <v>327</v>
      </c>
      <c r="N10" s="46"/>
      <c r="O10" s="7"/>
      <c r="P10" s="46">
        <v>10</v>
      </c>
      <c r="Q10" t="s">
        <v>700</v>
      </c>
    </row>
    <row r="11" spans="1:18" ht="14.45">
      <c r="A11" s="8" t="s">
        <v>363</v>
      </c>
      <c r="B11" s="8" t="s">
        <v>351</v>
      </c>
      <c r="C11" s="8">
        <v>100</v>
      </c>
      <c r="D11" s="8" t="s">
        <v>320</v>
      </c>
      <c r="E11" s="8"/>
      <c r="F11" s="8"/>
      <c r="G11" s="8"/>
      <c r="H11" s="8"/>
      <c r="I11" s="8"/>
      <c r="J11" s="8"/>
      <c r="K11" s="8"/>
      <c r="L11" s="8"/>
      <c r="M11" s="8" t="s">
        <v>327</v>
      </c>
      <c r="N11" s="46"/>
      <c r="O11" s="7"/>
      <c r="P11" s="46">
        <v>11</v>
      </c>
      <c r="Q11" t="s">
        <v>701</v>
      </c>
    </row>
    <row r="12" spans="1:18" ht="14.45">
      <c r="A12" s="8" t="s">
        <v>366</v>
      </c>
      <c r="B12" s="8" t="s">
        <v>367</v>
      </c>
      <c r="C12" s="8"/>
      <c r="D12" s="8" t="s">
        <v>320</v>
      </c>
      <c r="E12" s="8"/>
      <c r="F12" s="8"/>
      <c r="G12" s="8"/>
      <c r="H12" s="8"/>
      <c r="I12" s="8"/>
      <c r="J12" s="8"/>
      <c r="K12" s="8"/>
      <c r="L12" s="8"/>
      <c r="M12" s="8" t="s">
        <v>368</v>
      </c>
      <c r="N12" s="46"/>
      <c r="O12" s="7"/>
      <c r="P12" s="46">
        <v>12</v>
      </c>
      <c r="Q12" t="s">
        <v>702</v>
      </c>
    </row>
    <row r="13" spans="1:18" ht="14.45">
      <c r="A13" s="8" t="s">
        <v>371</v>
      </c>
      <c r="B13" s="8" t="s">
        <v>367</v>
      </c>
      <c r="C13" s="8"/>
      <c r="D13" s="8" t="s">
        <v>320</v>
      </c>
      <c r="E13" s="8"/>
      <c r="F13" s="8"/>
      <c r="G13" s="8"/>
      <c r="H13" s="8"/>
      <c r="I13" s="8"/>
      <c r="J13" s="8"/>
      <c r="K13" s="8"/>
      <c r="L13" s="8"/>
      <c r="M13" s="8" t="s">
        <v>368</v>
      </c>
      <c r="N13" s="46"/>
      <c r="O13" s="7"/>
      <c r="P13" s="46">
        <v>13</v>
      </c>
      <c r="Q13" t="s">
        <v>703</v>
      </c>
    </row>
    <row r="14" spans="1:18" ht="14.45">
      <c r="A14" s="8" t="s">
        <v>374</v>
      </c>
      <c r="B14" s="8" t="s">
        <v>351</v>
      </c>
      <c r="C14" s="8">
        <v>100</v>
      </c>
      <c r="D14" s="8" t="s">
        <v>320</v>
      </c>
      <c r="E14" s="8"/>
      <c r="F14" s="8"/>
      <c r="G14" s="8"/>
      <c r="H14" s="8"/>
      <c r="I14" s="8"/>
      <c r="J14" s="8"/>
      <c r="K14" s="8"/>
      <c r="L14" s="8"/>
      <c r="M14" s="8" t="s">
        <v>327</v>
      </c>
      <c r="N14" s="46"/>
      <c r="O14" s="7"/>
      <c r="P14" s="46">
        <v>14</v>
      </c>
      <c r="Q14" t="s">
        <v>704</v>
      </c>
    </row>
    <row r="16" spans="1:18" ht="14.45">
      <c r="A16" s="40" t="s">
        <v>705</v>
      </c>
      <c r="B16" s="40"/>
      <c r="C16" s="40"/>
    </row>
    <row r="17" spans="1:16" ht="14.45">
      <c r="O17" t="str">
        <f ca="1">UPPER(_xlfn.CONCAT(DEC2HEX(RANDBETWEEN(0,4294967295),8),"-",DEC2HEX(RANDBETWEEN(0,65535),4),"-",DEC2HEX(RANDBETWEEN(0,65535),4),"-",DEC2HEX(RANDBETWEEN(0,65535),4),"-",DEC2HEX(RANDBETWEEN(0,4294967295),8),DEC2HEX(RANDBETWEEN(0,65535),4)))</f>
        <v>0F7EB9FF-2551-940D-6D9D-BF6D56D5D1E0</v>
      </c>
      <c r="P17" t="str">
        <f ca="1">O17</f>
        <v>0F7EB9FF-2551-940D-6D9D-BF6D56D5D1E0</v>
      </c>
    </row>
    <row r="20" spans="1:16" ht="14.45">
      <c r="A20" s="21"/>
      <c r="B20" s="21"/>
      <c r="C20" s="21"/>
    </row>
    <row r="21" spans="1:16" ht="14.45">
      <c r="A21" s="35"/>
      <c r="B21" s="35"/>
      <c r="C21" s="3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A5ED5-E11D-4E1A-A442-4925DC3F5191}">
  <sheetPr codeName="Sheet51">
    <tabColor rgb="FF92D050"/>
  </sheetPr>
  <dimension ref="A1:R20"/>
  <sheetViews>
    <sheetView workbookViewId="0">
      <selection activeCell="H6" sqref="H6"/>
    </sheetView>
  </sheetViews>
  <sheetFormatPr defaultRowHeight="15" customHeight="1"/>
  <cols>
    <col min="1" max="1" width="36.85546875" customWidth="1"/>
    <col min="2" max="2" width="16.42578125" customWidth="1"/>
    <col min="3" max="3" width="16.28515625" customWidth="1"/>
    <col min="4" max="4" width="20.7109375" customWidth="1"/>
    <col min="5" max="5" width="31.5703125" customWidth="1"/>
    <col min="6" max="6" width="20.7109375" customWidth="1"/>
    <col min="7" max="9" width="15.7109375" customWidth="1"/>
    <col min="10" max="14" width="20.7109375" customWidth="1"/>
    <col min="17" max="17" width="38.28515625" bestFit="1" customWidth="1"/>
    <col min="18" max="18" width="53.85546875" bestFit="1" customWidth="1"/>
  </cols>
  <sheetData>
    <row r="1" spans="1:18" ht="60" customHeight="1">
      <c r="A1" s="1" t="s">
        <v>193</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706</v>
      </c>
      <c r="B3" s="6" t="s">
        <v>319</v>
      </c>
      <c r="C3" s="6"/>
      <c r="D3" s="6" t="s">
        <v>320</v>
      </c>
      <c r="E3" s="6"/>
      <c r="F3" s="6"/>
      <c r="G3" s="6" t="s">
        <v>319</v>
      </c>
      <c r="H3" s="6"/>
      <c r="I3" s="6" t="s">
        <v>98</v>
      </c>
      <c r="J3" s="6"/>
      <c r="K3" s="6"/>
      <c r="L3" s="6"/>
      <c r="M3" s="6">
        <v>-1</v>
      </c>
      <c r="N3" s="46"/>
      <c r="O3" s="7"/>
      <c r="P3" s="46">
        <v>1</v>
      </c>
      <c r="Q3" s="76" t="s">
        <v>707</v>
      </c>
      <c r="R3" s="76" t="s">
        <v>708</v>
      </c>
    </row>
    <row r="4" spans="1:18" ht="14.45">
      <c r="A4" s="9" t="s">
        <v>709</v>
      </c>
      <c r="B4" s="9" t="s">
        <v>351</v>
      </c>
      <c r="C4" s="9">
        <v>50</v>
      </c>
      <c r="D4" s="9" t="s">
        <v>21</v>
      </c>
      <c r="E4" s="9" t="s">
        <v>710</v>
      </c>
      <c r="F4" s="9" t="s">
        <v>711</v>
      </c>
      <c r="G4" s="9" t="s">
        <v>325</v>
      </c>
      <c r="H4" s="9">
        <v>255</v>
      </c>
      <c r="I4" s="9" t="s">
        <v>98</v>
      </c>
      <c r="J4" s="9"/>
      <c r="K4" s="9"/>
      <c r="L4" s="9"/>
      <c r="M4" s="9" t="s">
        <v>327</v>
      </c>
      <c r="N4" s="46"/>
      <c r="O4" s="7"/>
      <c r="P4" s="46">
        <v>2</v>
      </c>
      <c r="Q4" s="76" t="s">
        <v>712</v>
      </c>
      <c r="R4" s="76" t="s">
        <v>713</v>
      </c>
    </row>
    <row r="5" spans="1:18" ht="14.45">
      <c r="A5" s="7" t="s">
        <v>714</v>
      </c>
      <c r="B5" s="7" t="s">
        <v>351</v>
      </c>
      <c r="C5" s="7">
        <v>255</v>
      </c>
      <c r="D5" s="7" t="s">
        <v>21</v>
      </c>
      <c r="E5" s="7" t="s">
        <v>710</v>
      </c>
      <c r="F5" s="7" t="s">
        <v>3</v>
      </c>
      <c r="G5" s="7" t="s">
        <v>325</v>
      </c>
      <c r="H5" s="7">
        <v>255</v>
      </c>
      <c r="I5" s="7" t="s">
        <v>74</v>
      </c>
      <c r="J5" s="7"/>
      <c r="K5" s="7"/>
      <c r="L5" s="7"/>
      <c r="M5" s="7" t="s">
        <v>327</v>
      </c>
      <c r="N5" s="46"/>
      <c r="O5" s="7"/>
      <c r="P5" s="46">
        <v>3</v>
      </c>
      <c r="Q5" s="76" t="s">
        <v>715</v>
      </c>
      <c r="R5" s="76" t="s">
        <v>716</v>
      </c>
    </row>
    <row r="6" spans="1:18" ht="14.45">
      <c r="A6" s="7" t="s">
        <v>345</v>
      </c>
      <c r="B6" s="7" t="s">
        <v>346</v>
      </c>
      <c r="C6" s="7"/>
      <c r="D6" s="7" t="s">
        <v>21</v>
      </c>
      <c r="E6" s="7" t="s">
        <v>710</v>
      </c>
      <c r="F6" s="7" t="s">
        <v>347</v>
      </c>
      <c r="G6" s="7" t="s">
        <v>346</v>
      </c>
      <c r="H6" s="7"/>
      <c r="I6" s="7" t="s">
        <v>98</v>
      </c>
      <c r="J6" s="7"/>
      <c r="K6" s="7"/>
      <c r="L6" s="7"/>
      <c r="M6" s="7" t="b">
        <v>0</v>
      </c>
      <c r="N6" s="46"/>
      <c r="O6" s="7"/>
      <c r="P6" s="46">
        <v>4</v>
      </c>
      <c r="Q6" s="76" t="s">
        <v>717</v>
      </c>
      <c r="R6" s="76" t="s">
        <v>718</v>
      </c>
    </row>
    <row r="7" spans="1:18" ht="14.45">
      <c r="A7" s="8" t="s">
        <v>350</v>
      </c>
      <c r="B7" s="8" t="s">
        <v>351</v>
      </c>
      <c r="C7" s="8">
        <v>100</v>
      </c>
      <c r="D7" s="8" t="s">
        <v>320</v>
      </c>
      <c r="E7" s="8"/>
      <c r="F7" s="8"/>
      <c r="G7" s="8" t="s">
        <v>351</v>
      </c>
      <c r="H7" s="8">
        <v>100</v>
      </c>
      <c r="I7" s="8" t="s">
        <v>98</v>
      </c>
      <c r="J7" s="8"/>
      <c r="K7" s="8"/>
      <c r="L7" s="8"/>
      <c r="M7" s="8" t="s">
        <v>327</v>
      </c>
      <c r="N7" s="46"/>
      <c r="O7" s="7"/>
      <c r="P7" s="46">
        <v>5</v>
      </c>
      <c r="Q7" s="76" t="s">
        <v>719</v>
      </c>
      <c r="R7" s="76" t="s">
        <v>720</v>
      </c>
    </row>
    <row r="8" spans="1:18" ht="14.45">
      <c r="A8" s="8" t="s">
        <v>354</v>
      </c>
      <c r="B8" s="8" t="s">
        <v>351</v>
      </c>
      <c r="C8" s="8">
        <v>100</v>
      </c>
      <c r="D8" s="8" t="s">
        <v>320</v>
      </c>
      <c r="E8" s="8"/>
      <c r="F8" s="8"/>
      <c r="G8" s="8" t="s">
        <v>351</v>
      </c>
      <c r="H8" s="8">
        <v>100</v>
      </c>
      <c r="I8" s="8" t="s">
        <v>98</v>
      </c>
      <c r="J8" s="8"/>
      <c r="K8" s="8"/>
      <c r="L8" s="8"/>
      <c r="M8" s="8" t="s">
        <v>327</v>
      </c>
      <c r="N8" s="46"/>
      <c r="O8" s="7"/>
      <c r="P8" s="46">
        <v>6</v>
      </c>
      <c r="Q8" s="76" t="s">
        <v>721</v>
      </c>
      <c r="R8" s="76" t="s">
        <v>722</v>
      </c>
    </row>
    <row r="9" spans="1:18" ht="14.45">
      <c r="A9" s="8" t="s">
        <v>357</v>
      </c>
      <c r="B9" s="8" t="s">
        <v>351</v>
      </c>
      <c r="C9" s="8">
        <v>100</v>
      </c>
      <c r="D9" s="8" t="s">
        <v>320</v>
      </c>
      <c r="E9" s="8"/>
      <c r="F9" s="8"/>
      <c r="G9" s="8" t="s">
        <v>351</v>
      </c>
      <c r="H9" s="8">
        <v>100</v>
      </c>
      <c r="I9" s="8" t="s">
        <v>98</v>
      </c>
      <c r="J9" s="8"/>
      <c r="K9" s="8"/>
      <c r="L9" s="8"/>
      <c r="M9" s="8" t="s">
        <v>327</v>
      </c>
      <c r="N9" s="46"/>
      <c r="O9" s="7"/>
      <c r="P9" s="46">
        <v>7</v>
      </c>
      <c r="Q9" s="76" t="s">
        <v>723</v>
      </c>
      <c r="R9" s="76" t="s">
        <v>724</v>
      </c>
    </row>
    <row r="10" spans="1:18" ht="14.45">
      <c r="A10" s="8" t="s">
        <v>360</v>
      </c>
      <c r="B10" s="8" t="s">
        <v>351</v>
      </c>
      <c r="C10" s="8">
        <v>100</v>
      </c>
      <c r="D10" s="8" t="s">
        <v>320</v>
      </c>
      <c r="E10" s="8"/>
      <c r="F10" s="8"/>
      <c r="G10" s="8" t="s">
        <v>351</v>
      </c>
      <c r="H10" s="8">
        <v>100</v>
      </c>
      <c r="I10" s="8" t="s">
        <v>98</v>
      </c>
      <c r="J10" s="8"/>
      <c r="K10" s="8"/>
      <c r="L10" s="8"/>
      <c r="M10" s="8" t="s">
        <v>327</v>
      </c>
      <c r="N10" s="46"/>
      <c r="O10" s="7"/>
      <c r="P10" s="46">
        <v>8</v>
      </c>
      <c r="Q10" s="76" t="s">
        <v>725</v>
      </c>
      <c r="R10" s="76" t="s">
        <v>726</v>
      </c>
    </row>
    <row r="11" spans="1:18" ht="14.45">
      <c r="A11" s="8" t="s">
        <v>363</v>
      </c>
      <c r="B11" s="8" t="s">
        <v>351</v>
      </c>
      <c r="C11" s="8">
        <v>100</v>
      </c>
      <c r="D11" s="8" t="s">
        <v>320</v>
      </c>
      <c r="E11" s="8"/>
      <c r="F11" s="8"/>
      <c r="G11" s="8" t="s">
        <v>351</v>
      </c>
      <c r="H11" s="8">
        <v>100</v>
      </c>
      <c r="I11" s="8" t="s">
        <v>98</v>
      </c>
      <c r="J11" s="8"/>
      <c r="K11" s="8"/>
      <c r="L11" s="8"/>
      <c r="M11" s="8" t="s">
        <v>327</v>
      </c>
      <c r="N11" s="46"/>
      <c r="O11" s="7"/>
      <c r="P11" s="46">
        <v>9</v>
      </c>
      <c r="Q11" s="76" t="s">
        <v>727</v>
      </c>
      <c r="R11" s="76" t="s">
        <v>728</v>
      </c>
    </row>
    <row r="12" spans="1:18" ht="14.45">
      <c r="A12" s="8" t="s">
        <v>366</v>
      </c>
      <c r="B12" s="8" t="s">
        <v>367</v>
      </c>
      <c r="C12" s="8"/>
      <c r="D12" s="8" t="s">
        <v>320</v>
      </c>
      <c r="E12" s="8"/>
      <c r="F12" s="8"/>
      <c r="G12" s="8" t="s">
        <v>367</v>
      </c>
      <c r="H12" s="8"/>
      <c r="I12" s="8" t="s">
        <v>98</v>
      </c>
      <c r="J12" s="8"/>
      <c r="K12" s="8"/>
      <c r="L12" s="8"/>
      <c r="M12" s="8" t="s">
        <v>368</v>
      </c>
      <c r="N12" s="46"/>
      <c r="O12" s="7"/>
      <c r="P12" s="46">
        <v>10</v>
      </c>
      <c r="Q12" s="76" t="s">
        <v>729</v>
      </c>
      <c r="R12" s="76" t="s">
        <v>730</v>
      </c>
    </row>
    <row r="13" spans="1:18" ht="14.45">
      <c r="A13" s="8" t="s">
        <v>371</v>
      </c>
      <c r="B13" s="8" t="s">
        <v>367</v>
      </c>
      <c r="C13" s="8"/>
      <c r="D13" s="8" t="s">
        <v>320</v>
      </c>
      <c r="E13" s="8"/>
      <c r="F13" s="8"/>
      <c r="G13" s="8" t="s">
        <v>367</v>
      </c>
      <c r="H13" s="8"/>
      <c r="I13" s="8" t="s">
        <v>98</v>
      </c>
      <c r="J13" s="8"/>
      <c r="K13" s="8"/>
      <c r="L13" s="8"/>
      <c r="M13" s="8" t="s">
        <v>368</v>
      </c>
      <c r="N13" s="46"/>
      <c r="O13" s="7"/>
      <c r="P13" s="46">
        <v>11</v>
      </c>
      <c r="Q13" s="76" t="s">
        <v>731</v>
      </c>
      <c r="R13" s="76" t="s">
        <v>732</v>
      </c>
    </row>
    <row r="14" spans="1:18" ht="14.45">
      <c r="A14" s="8" t="s">
        <v>374</v>
      </c>
      <c r="B14" s="8" t="s">
        <v>351</v>
      </c>
      <c r="C14" s="8">
        <v>100</v>
      </c>
      <c r="D14" s="8" t="s">
        <v>320</v>
      </c>
      <c r="E14" s="8"/>
      <c r="F14" s="8"/>
      <c r="G14" s="8" t="s">
        <v>351</v>
      </c>
      <c r="H14" s="8">
        <v>100</v>
      </c>
      <c r="I14" s="8" t="s">
        <v>98</v>
      </c>
      <c r="J14" s="8"/>
      <c r="K14" s="8"/>
      <c r="L14" s="8"/>
      <c r="M14" s="8" t="s">
        <v>327</v>
      </c>
      <c r="N14" s="46"/>
      <c r="O14" s="7"/>
      <c r="P14" s="46">
        <v>12</v>
      </c>
      <c r="Q14" s="76" t="s">
        <v>733</v>
      </c>
      <c r="R14" s="76" t="s">
        <v>734</v>
      </c>
    </row>
    <row r="19" spans="1:3" ht="14.45">
      <c r="A19" s="21"/>
      <c r="B19" s="21"/>
      <c r="C19" s="21"/>
    </row>
    <row r="20" spans="1:3" ht="14.45">
      <c r="A20" s="35"/>
      <c r="B20" s="35"/>
      <c r="C20" s="35"/>
    </row>
  </sheetData>
  <conditionalFormatting sqref="Q3:Q4">
    <cfRule type="duplicateValues" dxfId="253" priority="2"/>
  </conditionalFormatting>
  <conditionalFormatting sqref="Q3:Q14">
    <cfRule type="duplicateValues" dxfId="252"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3827A-2279-4B0B-B54A-9279A08AC132}">
  <sheetPr>
    <tabColor rgb="FF92D050"/>
  </sheetPr>
  <dimension ref="A1:R20"/>
  <sheetViews>
    <sheetView workbookViewId="0">
      <selection activeCell="C6" sqref="C6"/>
    </sheetView>
  </sheetViews>
  <sheetFormatPr defaultRowHeight="15" customHeight="1"/>
  <cols>
    <col min="1" max="1" width="36.85546875" customWidth="1"/>
    <col min="2" max="2" width="18.140625" customWidth="1"/>
    <col min="3" max="3" width="18.28515625" customWidth="1"/>
    <col min="4" max="4" width="20.7109375" customWidth="1"/>
    <col min="5" max="5" width="31.5703125" customWidth="1"/>
    <col min="6" max="6" width="20.7109375" customWidth="1"/>
    <col min="7" max="9" width="15.7109375" customWidth="1"/>
    <col min="10" max="14" width="20.7109375" customWidth="1"/>
    <col min="17" max="17" width="38.28515625" bestFit="1" customWidth="1"/>
    <col min="18" max="18" width="49.28515625" bestFit="1" customWidth="1"/>
  </cols>
  <sheetData>
    <row r="1" spans="1:18" ht="60" customHeight="1">
      <c r="A1" s="1" t="s">
        <v>196</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735</v>
      </c>
      <c r="B3" s="6" t="s">
        <v>319</v>
      </c>
      <c r="C3" s="6"/>
      <c r="D3" s="6" t="s">
        <v>320</v>
      </c>
      <c r="E3" s="6"/>
      <c r="F3" s="6"/>
      <c r="G3" s="6"/>
      <c r="H3" s="6"/>
      <c r="I3" s="6" t="s">
        <v>98</v>
      </c>
      <c r="J3" s="6"/>
      <c r="K3" s="6"/>
      <c r="L3" s="6"/>
      <c r="M3" s="6">
        <v>-1</v>
      </c>
      <c r="N3" s="46"/>
      <c r="O3" s="7"/>
      <c r="P3" s="46">
        <v>1</v>
      </c>
      <c r="Q3" s="76" t="s">
        <v>736</v>
      </c>
      <c r="R3" s="76" t="s">
        <v>737</v>
      </c>
    </row>
    <row r="4" spans="1:18" ht="14.45">
      <c r="A4" s="9" t="s">
        <v>738</v>
      </c>
      <c r="B4" s="9" t="s">
        <v>351</v>
      </c>
      <c r="C4" s="9">
        <v>255</v>
      </c>
      <c r="D4" s="9" t="s">
        <v>21</v>
      </c>
      <c r="E4" s="9" t="s">
        <v>739</v>
      </c>
      <c r="F4" s="9" t="s">
        <v>740</v>
      </c>
      <c r="G4" s="9" t="s">
        <v>325</v>
      </c>
      <c r="H4" s="9">
        <v>255</v>
      </c>
      <c r="I4" s="9" t="s">
        <v>98</v>
      </c>
      <c r="J4" s="9"/>
      <c r="K4" s="9"/>
      <c r="L4" s="9"/>
      <c r="M4" s="9" t="s">
        <v>327</v>
      </c>
      <c r="N4" s="46"/>
      <c r="O4" s="7"/>
      <c r="P4" s="46">
        <v>2</v>
      </c>
      <c r="Q4" s="76" t="s">
        <v>741</v>
      </c>
      <c r="R4" s="76" t="s">
        <v>742</v>
      </c>
    </row>
    <row r="5" spans="1:18" ht="14.45">
      <c r="A5" s="7" t="s">
        <v>743</v>
      </c>
      <c r="B5" s="7" t="s">
        <v>351</v>
      </c>
      <c r="C5" s="7">
        <v>255</v>
      </c>
      <c r="D5" s="7" t="s">
        <v>21</v>
      </c>
      <c r="E5" s="7" t="s">
        <v>739</v>
      </c>
      <c r="F5" s="7" t="s">
        <v>3</v>
      </c>
      <c r="G5" s="7" t="s">
        <v>325</v>
      </c>
      <c r="H5" s="7">
        <v>255</v>
      </c>
      <c r="I5" s="7" t="s">
        <v>74</v>
      </c>
      <c r="J5" s="7"/>
      <c r="K5" s="7"/>
      <c r="L5" s="7"/>
      <c r="M5" s="7" t="s">
        <v>327</v>
      </c>
      <c r="N5" s="46"/>
      <c r="O5" s="7"/>
      <c r="P5" s="46">
        <v>3</v>
      </c>
      <c r="Q5" s="76" t="s">
        <v>744</v>
      </c>
      <c r="R5" s="76" t="s">
        <v>745</v>
      </c>
    </row>
    <row r="6" spans="1:18" ht="14.45">
      <c r="A6" s="7" t="s">
        <v>345</v>
      </c>
      <c r="B6" s="7" t="s">
        <v>346</v>
      </c>
      <c r="C6" s="7"/>
      <c r="D6" s="7" t="s">
        <v>21</v>
      </c>
      <c r="E6" s="7" t="s">
        <v>739</v>
      </c>
      <c r="F6" s="7" t="s">
        <v>347</v>
      </c>
      <c r="G6" s="7" t="s">
        <v>346</v>
      </c>
      <c r="H6" s="7"/>
      <c r="I6" s="7" t="s">
        <v>98</v>
      </c>
      <c r="J6" s="7"/>
      <c r="K6" s="7"/>
      <c r="L6" s="7"/>
      <c r="M6" s="7" t="b">
        <v>0</v>
      </c>
      <c r="N6" s="46"/>
      <c r="O6" s="7"/>
      <c r="P6" s="46">
        <v>4</v>
      </c>
      <c r="Q6" s="76" t="s">
        <v>746</v>
      </c>
      <c r="R6" s="76" t="s">
        <v>747</v>
      </c>
    </row>
    <row r="7" spans="1:18" ht="14.45">
      <c r="A7" s="8" t="s">
        <v>350</v>
      </c>
      <c r="B7" s="8" t="s">
        <v>351</v>
      </c>
      <c r="C7" s="8">
        <v>100</v>
      </c>
      <c r="D7" s="8" t="s">
        <v>320</v>
      </c>
      <c r="E7" s="8"/>
      <c r="F7" s="8"/>
      <c r="G7" s="8"/>
      <c r="H7" s="8"/>
      <c r="I7" s="8"/>
      <c r="J7" s="8"/>
      <c r="K7" s="8"/>
      <c r="L7" s="8"/>
      <c r="M7" s="8" t="s">
        <v>327</v>
      </c>
      <c r="N7" s="46"/>
      <c r="O7" s="7"/>
      <c r="P7" s="46">
        <v>5</v>
      </c>
      <c r="Q7" s="76" t="s">
        <v>748</v>
      </c>
      <c r="R7" s="76" t="s">
        <v>749</v>
      </c>
    </row>
    <row r="8" spans="1:18" ht="14.45">
      <c r="A8" s="8" t="s">
        <v>354</v>
      </c>
      <c r="B8" s="8" t="s">
        <v>351</v>
      </c>
      <c r="C8" s="8">
        <v>100</v>
      </c>
      <c r="D8" s="8" t="s">
        <v>320</v>
      </c>
      <c r="E8" s="8"/>
      <c r="F8" s="8"/>
      <c r="G8" s="8"/>
      <c r="H8" s="8"/>
      <c r="I8" s="8"/>
      <c r="J8" s="8"/>
      <c r="K8" s="8"/>
      <c r="L8" s="8"/>
      <c r="M8" s="8" t="s">
        <v>327</v>
      </c>
      <c r="N8" s="46"/>
      <c r="O8" s="7"/>
      <c r="P8" s="46">
        <v>6</v>
      </c>
      <c r="Q8" s="76" t="s">
        <v>750</v>
      </c>
      <c r="R8" s="76" t="s">
        <v>751</v>
      </c>
    </row>
    <row r="9" spans="1:18" ht="14.45">
      <c r="A9" s="8" t="s">
        <v>357</v>
      </c>
      <c r="B9" s="8" t="s">
        <v>351</v>
      </c>
      <c r="C9" s="8">
        <v>100</v>
      </c>
      <c r="D9" s="8" t="s">
        <v>320</v>
      </c>
      <c r="E9" s="8"/>
      <c r="F9" s="8"/>
      <c r="G9" s="8"/>
      <c r="H9" s="8"/>
      <c r="I9" s="8"/>
      <c r="J9" s="8"/>
      <c r="K9" s="8"/>
      <c r="L9" s="8"/>
      <c r="M9" s="8" t="s">
        <v>327</v>
      </c>
      <c r="N9" s="46"/>
      <c r="O9" s="7"/>
      <c r="P9" s="46">
        <v>7</v>
      </c>
      <c r="Q9" s="76" t="s">
        <v>752</v>
      </c>
      <c r="R9" s="76" t="s">
        <v>753</v>
      </c>
    </row>
    <row r="10" spans="1:18" ht="14.45">
      <c r="A10" s="8" t="s">
        <v>360</v>
      </c>
      <c r="B10" s="8" t="s">
        <v>351</v>
      </c>
      <c r="C10" s="8">
        <v>100</v>
      </c>
      <c r="D10" s="8" t="s">
        <v>320</v>
      </c>
      <c r="E10" s="8"/>
      <c r="F10" s="8"/>
      <c r="G10" s="8"/>
      <c r="H10" s="8"/>
      <c r="I10" s="8"/>
      <c r="J10" s="8"/>
      <c r="K10" s="8"/>
      <c r="L10" s="8"/>
      <c r="M10" s="8" t="s">
        <v>327</v>
      </c>
      <c r="N10" s="46"/>
      <c r="O10" s="7"/>
      <c r="P10" s="46">
        <v>8</v>
      </c>
      <c r="Q10" s="76" t="s">
        <v>754</v>
      </c>
      <c r="R10" s="76" t="s">
        <v>755</v>
      </c>
    </row>
    <row r="11" spans="1:18" ht="14.45">
      <c r="A11" s="8" t="s">
        <v>363</v>
      </c>
      <c r="B11" s="8" t="s">
        <v>351</v>
      </c>
      <c r="C11" s="8">
        <v>100</v>
      </c>
      <c r="D11" s="8" t="s">
        <v>320</v>
      </c>
      <c r="E11" s="8"/>
      <c r="F11" s="8"/>
      <c r="G11" s="8"/>
      <c r="H11" s="8"/>
      <c r="I11" s="8"/>
      <c r="J11" s="8"/>
      <c r="K11" s="8"/>
      <c r="L11" s="8"/>
      <c r="M11" s="8" t="s">
        <v>327</v>
      </c>
      <c r="N11" s="46"/>
      <c r="O11" s="7"/>
      <c r="P11" s="46">
        <v>9</v>
      </c>
      <c r="Q11" s="76" t="s">
        <v>756</v>
      </c>
      <c r="R11" s="76" t="s">
        <v>757</v>
      </c>
    </row>
    <row r="12" spans="1:18" ht="14.45">
      <c r="A12" s="8" t="s">
        <v>366</v>
      </c>
      <c r="B12" s="8" t="s">
        <v>367</v>
      </c>
      <c r="C12" s="8"/>
      <c r="D12" s="8" t="s">
        <v>320</v>
      </c>
      <c r="E12" s="8"/>
      <c r="F12" s="8"/>
      <c r="G12" s="8"/>
      <c r="H12" s="8"/>
      <c r="I12" s="8"/>
      <c r="J12" s="8"/>
      <c r="K12" s="8"/>
      <c r="L12" s="8"/>
      <c r="M12" s="8" t="s">
        <v>368</v>
      </c>
      <c r="N12" s="46"/>
      <c r="O12" s="7"/>
      <c r="P12" s="46">
        <v>10</v>
      </c>
      <c r="Q12" s="76" t="s">
        <v>758</v>
      </c>
      <c r="R12" s="76" t="s">
        <v>759</v>
      </c>
    </row>
    <row r="13" spans="1:18" ht="14.45">
      <c r="A13" s="8" t="s">
        <v>371</v>
      </c>
      <c r="B13" s="8" t="s">
        <v>367</v>
      </c>
      <c r="C13" s="8"/>
      <c r="D13" s="8" t="s">
        <v>320</v>
      </c>
      <c r="E13" s="8"/>
      <c r="F13" s="8"/>
      <c r="G13" s="8"/>
      <c r="H13" s="8"/>
      <c r="I13" s="8"/>
      <c r="J13" s="8"/>
      <c r="K13" s="8"/>
      <c r="L13" s="8"/>
      <c r="M13" s="8" t="s">
        <v>368</v>
      </c>
      <c r="N13" s="46"/>
      <c r="O13" s="7"/>
      <c r="P13" s="46">
        <v>11</v>
      </c>
      <c r="Q13" s="76" t="s">
        <v>760</v>
      </c>
      <c r="R13" s="76" t="s">
        <v>761</v>
      </c>
    </row>
    <row r="14" spans="1:18" ht="14.45">
      <c r="A14" s="8" t="s">
        <v>374</v>
      </c>
      <c r="B14" s="8" t="s">
        <v>351</v>
      </c>
      <c r="C14" s="8">
        <v>100</v>
      </c>
      <c r="D14" s="8" t="s">
        <v>320</v>
      </c>
      <c r="E14" s="8"/>
      <c r="F14" s="8"/>
      <c r="G14" s="8"/>
      <c r="H14" s="8"/>
      <c r="I14" s="8"/>
      <c r="J14" s="8"/>
      <c r="K14" s="8"/>
      <c r="L14" s="8"/>
      <c r="M14" s="8" t="s">
        <v>327</v>
      </c>
      <c r="N14" s="46"/>
      <c r="O14" s="7"/>
      <c r="P14" s="46">
        <v>12</v>
      </c>
      <c r="Q14" s="76" t="s">
        <v>762</v>
      </c>
      <c r="R14" s="76" t="s">
        <v>763</v>
      </c>
    </row>
    <row r="19" spans="1:3" ht="14.45">
      <c r="A19" s="21"/>
      <c r="B19" s="21"/>
      <c r="C19" s="21"/>
    </row>
    <row r="20" spans="1:3" ht="14.45">
      <c r="A20" s="35"/>
      <c r="B20" s="35"/>
      <c r="C20" s="35"/>
    </row>
  </sheetData>
  <conditionalFormatting sqref="Q3">
    <cfRule type="duplicateValues" dxfId="251" priority="2"/>
  </conditionalFormatting>
  <conditionalFormatting sqref="Q3:Q14">
    <cfRule type="duplicateValues" dxfId="25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15B5D-4708-436D-991F-6728B7CCBE4E}">
  <sheetPr codeName="Sheet52">
    <tabColor rgb="FF92D050"/>
  </sheetPr>
  <dimension ref="A1:R20"/>
  <sheetViews>
    <sheetView workbookViewId="0">
      <selection activeCell="H6" sqref="H6"/>
    </sheetView>
  </sheetViews>
  <sheetFormatPr defaultRowHeight="15" customHeight="1"/>
  <cols>
    <col min="1" max="1" width="36.85546875" customWidth="1"/>
    <col min="2" max="2" width="17.85546875" customWidth="1"/>
    <col min="3" max="3" width="16.140625" customWidth="1"/>
    <col min="4" max="4" width="20.7109375" customWidth="1"/>
    <col min="5" max="5" width="31.5703125" customWidth="1"/>
    <col min="6" max="6" width="20.7109375" customWidth="1"/>
    <col min="7" max="9" width="15.7109375" customWidth="1"/>
    <col min="10" max="14" width="20.7109375" customWidth="1"/>
    <col min="17" max="17" width="38.28515625" bestFit="1" customWidth="1"/>
    <col min="18" max="18" width="43.5703125" bestFit="1" customWidth="1"/>
  </cols>
  <sheetData>
    <row r="1" spans="1:18" ht="60" customHeight="1">
      <c r="A1" s="1" t="s">
        <v>198</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764</v>
      </c>
      <c r="B3" s="6" t="s">
        <v>319</v>
      </c>
      <c r="C3" s="6"/>
      <c r="D3" s="6" t="s">
        <v>320</v>
      </c>
      <c r="E3" s="6"/>
      <c r="F3" s="6"/>
      <c r="G3" s="6"/>
      <c r="H3" s="6"/>
      <c r="I3" s="6" t="s">
        <v>98</v>
      </c>
      <c r="J3" s="6"/>
      <c r="K3" s="6"/>
      <c r="L3" s="6"/>
      <c r="M3" s="6">
        <v>-1</v>
      </c>
      <c r="N3" s="46"/>
      <c r="O3" s="7"/>
      <c r="P3" s="46">
        <v>1</v>
      </c>
      <c r="Q3" s="76" t="s">
        <v>765</v>
      </c>
      <c r="R3" s="76" t="s">
        <v>766</v>
      </c>
    </row>
    <row r="4" spans="1:18" ht="14.45">
      <c r="A4" s="9" t="s">
        <v>767</v>
      </c>
      <c r="B4" s="9" t="s">
        <v>351</v>
      </c>
      <c r="C4" s="9">
        <v>50</v>
      </c>
      <c r="D4" s="9" t="s">
        <v>21</v>
      </c>
      <c r="E4" s="9" t="s">
        <v>199</v>
      </c>
      <c r="F4" s="9" t="s">
        <v>768</v>
      </c>
      <c r="G4" s="9" t="s">
        <v>325</v>
      </c>
      <c r="H4" s="9">
        <v>255</v>
      </c>
      <c r="I4" s="9" t="s">
        <v>98</v>
      </c>
      <c r="J4" s="9"/>
      <c r="K4" s="9"/>
      <c r="L4" s="9"/>
      <c r="M4" s="9" t="s">
        <v>327</v>
      </c>
      <c r="N4" s="46"/>
      <c r="O4" s="7"/>
      <c r="P4" s="46">
        <v>2</v>
      </c>
      <c r="Q4" s="76" t="s">
        <v>769</v>
      </c>
      <c r="R4" s="76" t="s">
        <v>770</v>
      </c>
    </row>
    <row r="5" spans="1:18" ht="14.45">
      <c r="A5" s="7" t="s">
        <v>771</v>
      </c>
      <c r="B5" s="7" t="s">
        <v>351</v>
      </c>
      <c r="C5" s="7">
        <v>255</v>
      </c>
      <c r="D5" s="7" t="s">
        <v>21</v>
      </c>
      <c r="E5" s="7" t="s">
        <v>199</v>
      </c>
      <c r="F5" s="7" t="s">
        <v>3</v>
      </c>
      <c r="G5" s="7" t="s">
        <v>325</v>
      </c>
      <c r="H5" s="7">
        <v>255</v>
      </c>
      <c r="I5" s="7" t="s">
        <v>74</v>
      </c>
      <c r="J5" s="7"/>
      <c r="K5" s="7"/>
      <c r="L5" s="7"/>
      <c r="M5" s="7" t="s">
        <v>327</v>
      </c>
      <c r="N5" s="46"/>
      <c r="O5" s="7"/>
      <c r="P5" s="46">
        <v>3</v>
      </c>
      <c r="Q5" s="76" t="s">
        <v>772</v>
      </c>
      <c r="R5" s="76" t="s">
        <v>773</v>
      </c>
    </row>
    <row r="6" spans="1:18" ht="14.45">
      <c r="A6" s="7" t="s">
        <v>345</v>
      </c>
      <c r="B6" s="7" t="s">
        <v>346</v>
      </c>
      <c r="C6" s="7"/>
      <c r="D6" s="7" t="s">
        <v>21</v>
      </c>
      <c r="E6" s="7" t="s">
        <v>199</v>
      </c>
      <c r="F6" s="7" t="s">
        <v>347</v>
      </c>
      <c r="G6" s="7" t="s">
        <v>346</v>
      </c>
      <c r="H6" s="7"/>
      <c r="I6" s="7" t="s">
        <v>98</v>
      </c>
      <c r="J6" s="7"/>
      <c r="K6" s="7"/>
      <c r="L6" s="7"/>
      <c r="M6" s="7" t="b">
        <v>0</v>
      </c>
      <c r="N6" s="46"/>
      <c r="O6" s="7"/>
      <c r="P6" s="46">
        <v>4</v>
      </c>
      <c r="Q6" s="76" t="s">
        <v>774</v>
      </c>
      <c r="R6" s="76" t="s">
        <v>775</v>
      </c>
    </row>
    <row r="7" spans="1:18" ht="14.45">
      <c r="A7" s="8" t="s">
        <v>350</v>
      </c>
      <c r="B7" s="8" t="s">
        <v>351</v>
      </c>
      <c r="C7" s="8">
        <v>100</v>
      </c>
      <c r="D7" s="8" t="s">
        <v>320</v>
      </c>
      <c r="E7" s="8"/>
      <c r="F7" s="8"/>
      <c r="G7" s="8"/>
      <c r="H7" s="8"/>
      <c r="I7" s="8"/>
      <c r="J7" s="8"/>
      <c r="K7" s="8"/>
      <c r="L7" s="8"/>
      <c r="M7" s="8" t="s">
        <v>327</v>
      </c>
      <c r="N7" s="46"/>
      <c r="O7" s="7"/>
      <c r="P7" s="46">
        <v>5</v>
      </c>
      <c r="Q7" s="76" t="s">
        <v>776</v>
      </c>
      <c r="R7" s="76" t="s">
        <v>777</v>
      </c>
    </row>
    <row r="8" spans="1:18" ht="14.45">
      <c r="A8" s="8" t="s">
        <v>354</v>
      </c>
      <c r="B8" s="8" t="s">
        <v>351</v>
      </c>
      <c r="C8" s="8">
        <v>100</v>
      </c>
      <c r="D8" s="8" t="s">
        <v>320</v>
      </c>
      <c r="E8" s="8"/>
      <c r="F8" s="8"/>
      <c r="G8" s="8"/>
      <c r="H8" s="8"/>
      <c r="I8" s="8"/>
      <c r="J8" s="8"/>
      <c r="K8" s="8"/>
      <c r="L8" s="8"/>
      <c r="M8" s="8" t="s">
        <v>327</v>
      </c>
      <c r="N8" s="46"/>
      <c r="O8" s="7"/>
      <c r="P8" s="46">
        <v>6</v>
      </c>
      <c r="Q8" s="76" t="s">
        <v>778</v>
      </c>
      <c r="R8" s="76" t="s">
        <v>779</v>
      </c>
    </row>
    <row r="9" spans="1:18" ht="14.45">
      <c r="A9" s="8" t="s">
        <v>357</v>
      </c>
      <c r="B9" s="8" t="s">
        <v>351</v>
      </c>
      <c r="C9" s="8">
        <v>100</v>
      </c>
      <c r="D9" s="8" t="s">
        <v>320</v>
      </c>
      <c r="E9" s="8"/>
      <c r="F9" s="8"/>
      <c r="G9" s="8"/>
      <c r="H9" s="8"/>
      <c r="I9" s="8"/>
      <c r="J9" s="8"/>
      <c r="K9" s="8"/>
      <c r="L9" s="8"/>
      <c r="M9" s="8" t="s">
        <v>327</v>
      </c>
      <c r="N9" s="46"/>
      <c r="O9" s="7"/>
      <c r="P9" s="46">
        <v>7</v>
      </c>
      <c r="Q9" s="76" t="s">
        <v>780</v>
      </c>
      <c r="R9" s="76" t="s">
        <v>781</v>
      </c>
    </row>
    <row r="10" spans="1:18" ht="14.45">
      <c r="A10" s="8" t="s">
        <v>360</v>
      </c>
      <c r="B10" s="8" t="s">
        <v>351</v>
      </c>
      <c r="C10" s="8">
        <v>100</v>
      </c>
      <c r="D10" s="8" t="s">
        <v>320</v>
      </c>
      <c r="E10" s="8"/>
      <c r="F10" s="8"/>
      <c r="G10" s="8"/>
      <c r="H10" s="8"/>
      <c r="I10" s="8"/>
      <c r="J10" s="8"/>
      <c r="K10" s="8"/>
      <c r="L10" s="8"/>
      <c r="M10" s="8" t="s">
        <v>327</v>
      </c>
      <c r="N10" s="46"/>
      <c r="O10" s="7"/>
      <c r="P10" s="46">
        <v>8</v>
      </c>
      <c r="Q10" s="76" t="s">
        <v>782</v>
      </c>
      <c r="R10" s="76" t="s">
        <v>783</v>
      </c>
    </row>
    <row r="11" spans="1:18" ht="14.45">
      <c r="A11" s="8" t="s">
        <v>363</v>
      </c>
      <c r="B11" s="8" t="s">
        <v>351</v>
      </c>
      <c r="C11" s="8">
        <v>100</v>
      </c>
      <c r="D11" s="8" t="s">
        <v>320</v>
      </c>
      <c r="E11" s="8"/>
      <c r="F11" s="8"/>
      <c r="G11" s="8"/>
      <c r="H11" s="8"/>
      <c r="I11" s="8"/>
      <c r="J11" s="8"/>
      <c r="K11" s="8"/>
      <c r="L11" s="8"/>
      <c r="M11" s="8" t="s">
        <v>327</v>
      </c>
      <c r="N11" s="46"/>
      <c r="O11" s="7"/>
      <c r="P11" s="46">
        <v>9</v>
      </c>
      <c r="Q11" s="76" t="s">
        <v>784</v>
      </c>
      <c r="R11" s="76" t="s">
        <v>785</v>
      </c>
    </row>
    <row r="12" spans="1:18" ht="14.45">
      <c r="A12" s="8" t="s">
        <v>366</v>
      </c>
      <c r="B12" s="8" t="s">
        <v>367</v>
      </c>
      <c r="C12" s="8"/>
      <c r="D12" s="8" t="s">
        <v>320</v>
      </c>
      <c r="E12" s="8"/>
      <c r="F12" s="8"/>
      <c r="G12" s="8"/>
      <c r="H12" s="8"/>
      <c r="I12" s="8"/>
      <c r="J12" s="8"/>
      <c r="K12" s="8"/>
      <c r="L12" s="8"/>
      <c r="M12" s="8" t="s">
        <v>368</v>
      </c>
      <c r="N12" s="46"/>
      <c r="O12" s="7"/>
      <c r="P12" s="46">
        <v>10</v>
      </c>
      <c r="Q12" s="76" t="s">
        <v>786</v>
      </c>
      <c r="R12" s="76" t="s">
        <v>787</v>
      </c>
    </row>
    <row r="13" spans="1:18" ht="14.45">
      <c r="A13" s="8" t="s">
        <v>371</v>
      </c>
      <c r="B13" s="8" t="s">
        <v>367</v>
      </c>
      <c r="C13" s="8"/>
      <c r="D13" s="8" t="s">
        <v>320</v>
      </c>
      <c r="E13" s="8"/>
      <c r="F13" s="8"/>
      <c r="G13" s="8"/>
      <c r="H13" s="8"/>
      <c r="I13" s="8"/>
      <c r="J13" s="8"/>
      <c r="K13" s="8"/>
      <c r="L13" s="8"/>
      <c r="M13" s="8" t="s">
        <v>368</v>
      </c>
      <c r="N13" s="46"/>
      <c r="O13" s="7"/>
      <c r="P13" s="46">
        <v>11</v>
      </c>
      <c r="Q13" s="76" t="s">
        <v>788</v>
      </c>
      <c r="R13" s="76" t="s">
        <v>789</v>
      </c>
    </row>
    <row r="14" spans="1:18" ht="14.45">
      <c r="A14" s="8" t="s">
        <v>374</v>
      </c>
      <c r="B14" s="8" t="s">
        <v>351</v>
      </c>
      <c r="C14" s="8">
        <v>100</v>
      </c>
      <c r="D14" s="8" t="s">
        <v>320</v>
      </c>
      <c r="E14" s="8"/>
      <c r="F14" s="8"/>
      <c r="G14" s="8"/>
      <c r="H14" s="8"/>
      <c r="I14" s="8"/>
      <c r="J14" s="8"/>
      <c r="K14" s="8"/>
      <c r="L14" s="8"/>
      <c r="M14" s="8" t="s">
        <v>327</v>
      </c>
      <c r="N14" s="46"/>
      <c r="O14" s="7"/>
      <c r="P14" s="46">
        <v>12</v>
      </c>
      <c r="Q14" s="76" t="s">
        <v>790</v>
      </c>
      <c r="R14" s="76" t="s">
        <v>791</v>
      </c>
    </row>
    <row r="19" spans="1:3" ht="14.45">
      <c r="A19" s="21"/>
      <c r="B19" s="21"/>
      <c r="C19" s="21"/>
    </row>
    <row r="20" spans="1:3" ht="14.45">
      <c r="A20" s="35"/>
      <c r="B20" s="35"/>
      <c r="C20" s="35"/>
    </row>
  </sheetData>
  <conditionalFormatting sqref="Q3">
    <cfRule type="duplicateValues" dxfId="249" priority="2"/>
  </conditionalFormatting>
  <conditionalFormatting sqref="Q3:Q14">
    <cfRule type="duplicateValues" dxfId="248"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80976-F216-42A4-9CC3-96AACCAE897C}">
  <sheetPr>
    <tabColor rgb="FF92D050"/>
  </sheetPr>
  <dimension ref="A1:R20"/>
  <sheetViews>
    <sheetView workbookViewId="0">
      <selection activeCell="H6" sqref="H6"/>
    </sheetView>
  </sheetViews>
  <sheetFormatPr defaultRowHeight="15" customHeight="1"/>
  <cols>
    <col min="1" max="1" width="36.85546875" customWidth="1"/>
    <col min="2" max="2" width="18.7109375" customWidth="1"/>
    <col min="3" max="3" width="18" customWidth="1"/>
    <col min="4" max="4" width="20.7109375" customWidth="1"/>
    <col min="5" max="5" width="31.5703125" customWidth="1"/>
    <col min="6" max="6" width="20.7109375" customWidth="1"/>
    <col min="7" max="9" width="15.7109375" customWidth="1"/>
    <col min="10" max="14" width="20.7109375" customWidth="1"/>
    <col min="17" max="17" width="38.28515625" bestFit="1" customWidth="1"/>
    <col min="18" max="18" width="47.28515625" customWidth="1"/>
  </cols>
  <sheetData>
    <row r="1" spans="1:18" ht="60" customHeight="1">
      <c r="A1" s="1" t="s">
        <v>200</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792</v>
      </c>
      <c r="B3" s="6" t="s">
        <v>319</v>
      </c>
      <c r="C3" s="6"/>
      <c r="D3" s="6" t="s">
        <v>320</v>
      </c>
      <c r="E3" s="6"/>
      <c r="F3" s="6"/>
      <c r="G3" s="6"/>
      <c r="H3" s="6"/>
      <c r="I3" s="6" t="s">
        <v>98</v>
      </c>
      <c r="J3" s="6"/>
      <c r="K3" s="6"/>
      <c r="L3" s="6"/>
      <c r="M3" s="6">
        <v>-1</v>
      </c>
      <c r="N3" s="46"/>
      <c r="O3" s="7"/>
      <c r="P3" s="46">
        <v>1</v>
      </c>
      <c r="Q3" s="76" t="s">
        <v>793</v>
      </c>
      <c r="R3" s="76" t="s">
        <v>794</v>
      </c>
    </row>
    <row r="4" spans="1:18" ht="14.45">
      <c r="A4" s="9" t="s">
        <v>795</v>
      </c>
      <c r="B4" s="9" t="s">
        <v>351</v>
      </c>
      <c r="C4" s="9">
        <v>50</v>
      </c>
      <c r="D4" s="9" t="s">
        <v>21</v>
      </c>
      <c r="E4" s="9" t="s">
        <v>796</v>
      </c>
      <c r="F4" s="9" t="s">
        <v>797</v>
      </c>
      <c r="G4" s="9" t="s">
        <v>325</v>
      </c>
      <c r="H4" s="9">
        <v>255</v>
      </c>
      <c r="I4" s="9" t="s">
        <v>98</v>
      </c>
      <c r="J4" s="9"/>
      <c r="K4" s="9"/>
      <c r="L4" s="9"/>
      <c r="M4" s="9" t="s">
        <v>327</v>
      </c>
      <c r="N4" s="46"/>
      <c r="O4" s="7"/>
      <c r="P4" s="46">
        <v>2</v>
      </c>
      <c r="Q4" s="76" t="s">
        <v>798</v>
      </c>
      <c r="R4" s="76" t="s">
        <v>799</v>
      </c>
    </row>
    <row r="5" spans="1:18" ht="14.45">
      <c r="A5" s="7" t="s">
        <v>800</v>
      </c>
      <c r="B5" s="7" t="s">
        <v>351</v>
      </c>
      <c r="C5" s="7">
        <v>255</v>
      </c>
      <c r="D5" s="7" t="s">
        <v>21</v>
      </c>
      <c r="E5" s="7" t="s">
        <v>796</v>
      </c>
      <c r="F5" s="7" t="s">
        <v>3</v>
      </c>
      <c r="G5" s="7" t="s">
        <v>325</v>
      </c>
      <c r="H5" s="7">
        <v>255</v>
      </c>
      <c r="I5" s="7" t="s">
        <v>74</v>
      </c>
      <c r="J5" s="7"/>
      <c r="K5" s="7"/>
      <c r="L5" s="7"/>
      <c r="M5" s="7" t="s">
        <v>327</v>
      </c>
      <c r="N5" s="46"/>
      <c r="O5" s="7"/>
      <c r="P5" s="46">
        <v>3</v>
      </c>
      <c r="Q5" s="76" t="s">
        <v>801</v>
      </c>
      <c r="R5" s="76" t="s">
        <v>802</v>
      </c>
    </row>
    <row r="6" spans="1:18" ht="14.45">
      <c r="A6" s="7" t="s">
        <v>345</v>
      </c>
      <c r="B6" s="7" t="s">
        <v>346</v>
      </c>
      <c r="C6" s="7"/>
      <c r="D6" s="7" t="s">
        <v>21</v>
      </c>
      <c r="E6" s="7" t="s">
        <v>796</v>
      </c>
      <c r="F6" s="7" t="s">
        <v>347</v>
      </c>
      <c r="G6" s="7" t="s">
        <v>346</v>
      </c>
      <c r="H6" s="7"/>
      <c r="I6" s="7" t="s">
        <v>98</v>
      </c>
      <c r="J6" s="7"/>
      <c r="K6" s="7"/>
      <c r="L6" s="7"/>
      <c r="M6" s="7" t="b">
        <v>0</v>
      </c>
      <c r="N6" s="46"/>
      <c r="O6" s="7"/>
      <c r="P6" s="46">
        <v>4</v>
      </c>
      <c r="Q6" s="76" t="s">
        <v>803</v>
      </c>
      <c r="R6" s="76" t="s">
        <v>804</v>
      </c>
    </row>
    <row r="7" spans="1:18" ht="14.45">
      <c r="A7" s="8" t="s">
        <v>350</v>
      </c>
      <c r="B7" s="8" t="s">
        <v>351</v>
      </c>
      <c r="C7" s="8">
        <v>100</v>
      </c>
      <c r="D7" s="8" t="s">
        <v>320</v>
      </c>
      <c r="E7" s="8"/>
      <c r="F7" s="8"/>
      <c r="G7" s="8"/>
      <c r="H7" s="8"/>
      <c r="I7" s="8"/>
      <c r="J7" s="8"/>
      <c r="K7" s="8"/>
      <c r="L7" s="8"/>
      <c r="M7" s="8" t="s">
        <v>327</v>
      </c>
      <c r="N7" s="46"/>
      <c r="O7" s="7"/>
      <c r="P7" s="46">
        <v>5</v>
      </c>
      <c r="Q7" s="76" t="s">
        <v>805</v>
      </c>
      <c r="R7" s="76" t="s">
        <v>806</v>
      </c>
    </row>
    <row r="8" spans="1:18" ht="14.45">
      <c r="A8" s="8" t="s">
        <v>354</v>
      </c>
      <c r="B8" s="8" t="s">
        <v>351</v>
      </c>
      <c r="C8" s="8">
        <v>100</v>
      </c>
      <c r="D8" s="8" t="s">
        <v>320</v>
      </c>
      <c r="E8" s="8"/>
      <c r="F8" s="8"/>
      <c r="G8" s="8"/>
      <c r="H8" s="8"/>
      <c r="I8" s="8"/>
      <c r="J8" s="8"/>
      <c r="K8" s="8"/>
      <c r="L8" s="8"/>
      <c r="M8" s="8" t="s">
        <v>327</v>
      </c>
      <c r="N8" s="46"/>
      <c r="O8" s="7"/>
      <c r="P8" s="46">
        <v>6</v>
      </c>
      <c r="Q8" s="76" t="s">
        <v>807</v>
      </c>
      <c r="R8" s="76" t="s">
        <v>808</v>
      </c>
    </row>
    <row r="9" spans="1:18" ht="14.45">
      <c r="A9" s="8" t="s">
        <v>357</v>
      </c>
      <c r="B9" s="8" t="s">
        <v>351</v>
      </c>
      <c r="C9" s="8">
        <v>100</v>
      </c>
      <c r="D9" s="8" t="s">
        <v>320</v>
      </c>
      <c r="E9" s="8"/>
      <c r="F9" s="8"/>
      <c r="G9" s="8"/>
      <c r="H9" s="8"/>
      <c r="I9" s="8"/>
      <c r="J9" s="8"/>
      <c r="K9" s="8"/>
      <c r="L9" s="8"/>
      <c r="M9" s="8" t="s">
        <v>327</v>
      </c>
      <c r="N9" s="46"/>
      <c r="O9" s="7"/>
      <c r="P9" s="46">
        <v>7</v>
      </c>
      <c r="Q9" s="76" t="s">
        <v>809</v>
      </c>
      <c r="R9" s="76" t="s">
        <v>810</v>
      </c>
    </row>
    <row r="10" spans="1:18" ht="14.45">
      <c r="A10" s="8" t="s">
        <v>360</v>
      </c>
      <c r="B10" s="8" t="s">
        <v>351</v>
      </c>
      <c r="C10" s="8">
        <v>100</v>
      </c>
      <c r="D10" s="8" t="s">
        <v>320</v>
      </c>
      <c r="E10" s="8"/>
      <c r="F10" s="8"/>
      <c r="G10" s="8"/>
      <c r="H10" s="8"/>
      <c r="I10" s="8"/>
      <c r="J10" s="8"/>
      <c r="K10" s="8"/>
      <c r="L10" s="8"/>
      <c r="M10" s="8" t="s">
        <v>327</v>
      </c>
      <c r="N10" s="46"/>
      <c r="O10" s="7"/>
      <c r="P10" s="46">
        <v>8</v>
      </c>
      <c r="Q10" s="76" t="s">
        <v>811</v>
      </c>
      <c r="R10" s="76" t="s">
        <v>812</v>
      </c>
    </row>
    <row r="11" spans="1:18" ht="14.45">
      <c r="A11" s="8" t="s">
        <v>363</v>
      </c>
      <c r="B11" s="8" t="s">
        <v>351</v>
      </c>
      <c r="C11" s="8">
        <v>100</v>
      </c>
      <c r="D11" s="8" t="s">
        <v>320</v>
      </c>
      <c r="E11" s="8"/>
      <c r="F11" s="8"/>
      <c r="G11" s="8"/>
      <c r="H11" s="8"/>
      <c r="I11" s="8"/>
      <c r="J11" s="8"/>
      <c r="K11" s="8"/>
      <c r="L11" s="8"/>
      <c r="M11" s="8" t="s">
        <v>327</v>
      </c>
      <c r="N11" s="46"/>
      <c r="O11" s="7"/>
      <c r="P11" s="46">
        <v>9</v>
      </c>
      <c r="Q11" s="76" t="s">
        <v>813</v>
      </c>
      <c r="R11" s="76" t="s">
        <v>814</v>
      </c>
    </row>
    <row r="12" spans="1:18" ht="14.45">
      <c r="A12" s="8" t="s">
        <v>366</v>
      </c>
      <c r="B12" s="8" t="s">
        <v>367</v>
      </c>
      <c r="C12" s="8"/>
      <c r="D12" s="8" t="s">
        <v>320</v>
      </c>
      <c r="E12" s="8"/>
      <c r="F12" s="8"/>
      <c r="G12" s="8"/>
      <c r="H12" s="8"/>
      <c r="I12" s="8"/>
      <c r="J12" s="8"/>
      <c r="K12" s="8"/>
      <c r="L12" s="8"/>
      <c r="M12" s="8" t="s">
        <v>368</v>
      </c>
      <c r="N12" s="46"/>
      <c r="O12" s="7"/>
      <c r="P12" s="46">
        <v>10</v>
      </c>
      <c r="Q12" s="76" t="s">
        <v>815</v>
      </c>
      <c r="R12" s="76" t="s">
        <v>816</v>
      </c>
    </row>
    <row r="13" spans="1:18" ht="14.45">
      <c r="A13" s="8" t="s">
        <v>371</v>
      </c>
      <c r="B13" s="8" t="s">
        <v>367</v>
      </c>
      <c r="C13" s="8"/>
      <c r="D13" s="8" t="s">
        <v>320</v>
      </c>
      <c r="E13" s="8"/>
      <c r="F13" s="8"/>
      <c r="G13" s="8"/>
      <c r="H13" s="8"/>
      <c r="I13" s="8"/>
      <c r="J13" s="8"/>
      <c r="K13" s="8"/>
      <c r="L13" s="8"/>
      <c r="M13" s="8" t="s">
        <v>368</v>
      </c>
      <c r="N13" s="46"/>
      <c r="O13" s="7"/>
      <c r="P13" s="46">
        <v>11</v>
      </c>
      <c r="Q13" s="76" t="s">
        <v>817</v>
      </c>
      <c r="R13" s="76" t="s">
        <v>818</v>
      </c>
    </row>
    <row r="14" spans="1:18" ht="14.45">
      <c r="A14" s="8" t="s">
        <v>374</v>
      </c>
      <c r="B14" s="8" t="s">
        <v>351</v>
      </c>
      <c r="C14" s="8">
        <v>100</v>
      </c>
      <c r="D14" s="8" t="s">
        <v>320</v>
      </c>
      <c r="E14" s="8"/>
      <c r="F14" s="8"/>
      <c r="G14" s="8"/>
      <c r="H14" s="8"/>
      <c r="I14" s="8"/>
      <c r="J14" s="8"/>
      <c r="K14" s="8"/>
      <c r="L14" s="8"/>
      <c r="M14" s="8" t="s">
        <v>327</v>
      </c>
      <c r="N14" s="46"/>
      <c r="O14" s="7"/>
      <c r="P14" s="46">
        <v>12</v>
      </c>
      <c r="Q14" s="76" t="s">
        <v>819</v>
      </c>
      <c r="R14" s="76" t="s">
        <v>820</v>
      </c>
    </row>
    <row r="19" spans="1:3" ht="14.45">
      <c r="A19" s="21"/>
      <c r="B19" s="21"/>
      <c r="C19" s="21"/>
    </row>
    <row r="20" spans="1:3" ht="14.45">
      <c r="A20" s="35"/>
      <c r="B20" s="35"/>
      <c r="C20" s="35"/>
    </row>
  </sheetData>
  <conditionalFormatting sqref="Q3:Q14">
    <cfRule type="duplicateValues" dxfId="247" priority="1"/>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tabColor rgb="FF92D050"/>
  </sheetPr>
  <dimension ref="A1:R27"/>
  <sheetViews>
    <sheetView workbookViewId="0">
      <selection activeCell="D17" sqref="D17"/>
    </sheetView>
  </sheetViews>
  <sheetFormatPr defaultRowHeight="15" customHeight="1"/>
  <cols>
    <col min="1" max="1" width="31.7109375" customWidth="1"/>
    <col min="2" max="2" width="17.140625" customWidth="1"/>
    <col min="3" max="3" width="16" customWidth="1"/>
    <col min="4" max="4" width="20.7109375" customWidth="1"/>
    <col min="5" max="5" width="35.7109375" customWidth="1"/>
    <col min="6" max="6" width="23.7109375" bestFit="1"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0.140625" bestFit="1" customWidth="1"/>
  </cols>
  <sheetData>
    <row r="1" spans="1:18" ht="60" customHeight="1">
      <c r="A1" s="1" t="s">
        <v>226</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821</v>
      </c>
      <c r="B3" s="6" t="s">
        <v>319</v>
      </c>
      <c r="C3" s="6"/>
      <c r="D3" s="6" t="s">
        <v>320</v>
      </c>
      <c r="E3" s="6"/>
      <c r="F3" s="6"/>
      <c r="G3" s="6"/>
      <c r="H3" s="6"/>
      <c r="I3" s="6" t="s">
        <v>98</v>
      </c>
      <c r="J3" s="6" t="s">
        <v>321</v>
      </c>
      <c r="K3" s="6"/>
      <c r="L3" s="6"/>
      <c r="M3" s="6">
        <v>-1</v>
      </c>
      <c r="N3" s="46"/>
      <c r="O3" s="7" t="s">
        <v>822</v>
      </c>
      <c r="P3" s="46">
        <v>1</v>
      </c>
      <c r="Q3" t="s">
        <v>823</v>
      </c>
      <c r="R3" t="s">
        <v>824</v>
      </c>
    </row>
    <row r="4" spans="1:18" ht="14.45">
      <c r="A4" s="9" t="s">
        <v>429</v>
      </c>
      <c r="B4" s="9" t="s">
        <v>351</v>
      </c>
      <c r="C4" s="9">
        <v>5</v>
      </c>
      <c r="D4" s="9" t="s">
        <v>21</v>
      </c>
      <c r="E4" s="9" t="s">
        <v>227</v>
      </c>
      <c r="F4" s="9" t="s">
        <v>825</v>
      </c>
      <c r="G4" s="9" t="s">
        <v>325</v>
      </c>
      <c r="H4" s="9">
        <v>255</v>
      </c>
      <c r="I4" s="9" t="s">
        <v>98</v>
      </c>
      <c r="J4" s="9"/>
      <c r="K4" s="9"/>
      <c r="L4" s="9" t="s">
        <v>432</v>
      </c>
      <c r="M4" s="9" t="s">
        <v>327</v>
      </c>
      <c r="N4" s="46"/>
      <c r="O4" s="7"/>
      <c r="P4" s="46">
        <v>2</v>
      </c>
      <c r="Q4" t="s">
        <v>826</v>
      </c>
      <c r="R4" t="s">
        <v>827</v>
      </c>
    </row>
    <row r="5" spans="1:18" ht="14.45">
      <c r="A5" s="7" t="s">
        <v>435</v>
      </c>
      <c r="B5" s="7" t="s">
        <v>351</v>
      </c>
      <c r="C5" s="7">
        <v>5</v>
      </c>
      <c r="D5" s="7" t="s">
        <v>21</v>
      </c>
      <c r="E5" s="7" t="s">
        <v>227</v>
      </c>
      <c r="F5" s="7" t="s">
        <v>828</v>
      </c>
      <c r="G5" s="7" t="s">
        <v>325</v>
      </c>
      <c r="H5" s="7">
        <v>255</v>
      </c>
      <c r="I5" s="7" t="s">
        <v>98</v>
      </c>
      <c r="J5" s="7"/>
      <c r="K5" s="7"/>
      <c r="L5" s="7" t="s">
        <v>437</v>
      </c>
      <c r="M5" s="7" t="s">
        <v>327</v>
      </c>
      <c r="N5" s="46"/>
      <c r="O5" s="7"/>
      <c r="P5" s="46">
        <v>3</v>
      </c>
      <c r="Q5" t="s">
        <v>829</v>
      </c>
      <c r="R5" t="s">
        <v>830</v>
      </c>
    </row>
    <row r="6" spans="1:18" ht="14.45">
      <c r="A6" s="7" t="s">
        <v>440</v>
      </c>
      <c r="B6" s="7" t="s">
        <v>351</v>
      </c>
      <c r="C6" s="7">
        <v>5</v>
      </c>
      <c r="D6" s="7" t="s">
        <v>21</v>
      </c>
      <c r="E6" s="7" t="s">
        <v>227</v>
      </c>
      <c r="F6" s="7" t="s">
        <v>831</v>
      </c>
      <c r="G6" s="7" t="s">
        <v>325</v>
      </c>
      <c r="H6" s="7">
        <v>255</v>
      </c>
      <c r="I6" s="7" t="s">
        <v>98</v>
      </c>
      <c r="J6" s="7"/>
      <c r="K6" s="7"/>
      <c r="L6" s="7" t="s">
        <v>442</v>
      </c>
      <c r="M6" s="7" t="s">
        <v>327</v>
      </c>
      <c r="N6" s="46"/>
      <c r="O6" s="7" t="s">
        <v>832</v>
      </c>
      <c r="P6" s="46">
        <v>4</v>
      </c>
      <c r="Q6" t="s">
        <v>833</v>
      </c>
      <c r="R6" t="s">
        <v>834</v>
      </c>
    </row>
    <row r="7" spans="1:18" ht="14.45">
      <c r="A7" s="7" t="s">
        <v>445</v>
      </c>
      <c r="B7" s="7" t="s">
        <v>351</v>
      </c>
      <c r="C7" s="7">
        <v>255</v>
      </c>
      <c r="D7" s="7" t="s">
        <v>21</v>
      </c>
      <c r="E7" s="7" t="s">
        <v>227</v>
      </c>
      <c r="F7" s="7" t="s">
        <v>835</v>
      </c>
      <c r="G7" s="7" t="s">
        <v>325</v>
      </c>
      <c r="H7" s="7">
        <v>255</v>
      </c>
      <c r="I7" s="7" t="s">
        <v>74</v>
      </c>
      <c r="J7" s="7"/>
      <c r="K7" s="7"/>
      <c r="L7" s="7" t="s">
        <v>432</v>
      </c>
      <c r="M7" s="7" t="s">
        <v>327</v>
      </c>
      <c r="N7" s="46"/>
      <c r="O7" s="7"/>
      <c r="P7" s="46">
        <v>5</v>
      </c>
      <c r="Q7" t="s">
        <v>836</v>
      </c>
      <c r="R7" t="s">
        <v>837</v>
      </c>
    </row>
    <row r="8" spans="1:18" ht="14.45">
      <c r="A8" s="7" t="s">
        <v>449</v>
      </c>
      <c r="B8" s="7" t="s">
        <v>351</v>
      </c>
      <c r="C8" s="7">
        <v>255</v>
      </c>
      <c r="D8" s="7" t="s">
        <v>21</v>
      </c>
      <c r="E8" s="7" t="s">
        <v>227</v>
      </c>
      <c r="F8" s="7" t="s">
        <v>450</v>
      </c>
      <c r="G8" s="7" t="s">
        <v>325</v>
      </c>
      <c r="H8" s="7">
        <v>255</v>
      </c>
      <c r="I8" s="7" t="s">
        <v>74</v>
      </c>
      <c r="J8" s="7"/>
      <c r="K8" s="7"/>
      <c r="L8" s="7" t="s">
        <v>437</v>
      </c>
      <c r="M8" s="7" t="s">
        <v>327</v>
      </c>
      <c r="N8" s="46"/>
      <c r="O8" s="7"/>
      <c r="P8" s="46">
        <v>6</v>
      </c>
      <c r="Q8" t="s">
        <v>838</v>
      </c>
      <c r="R8" t="s">
        <v>839</v>
      </c>
    </row>
    <row r="9" spans="1:18" ht="14.45">
      <c r="A9" s="7" t="s">
        <v>453</v>
      </c>
      <c r="B9" s="7" t="s">
        <v>351</v>
      </c>
      <c r="C9" s="7">
        <v>255</v>
      </c>
      <c r="D9" s="7" t="s">
        <v>21</v>
      </c>
      <c r="E9" s="7" t="s">
        <v>227</v>
      </c>
      <c r="F9" s="7" t="s">
        <v>454</v>
      </c>
      <c r="G9" s="7" t="s">
        <v>325</v>
      </c>
      <c r="H9" s="7">
        <v>255</v>
      </c>
      <c r="I9" s="7" t="s">
        <v>74</v>
      </c>
      <c r="J9" s="7"/>
      <c r="K9" s="7"/>
      <c r="L9" s="7" t="s">
        <v>442</v>
      </c>
      <c r="M9" s="7" t="s">
        <v>327</v>
      </c>
      <c r="N9" s="46"/>
      <c r="O9" s="7" t="s">
        <v>832</v>
      </c>
      <c r="P9" s="46">
        <v>7</v>
      </c>
      <c r="Q9" t="s">
        <v>840</v>
      </c>
      <c r="R9" t="s">
        <v>841</v>
      </c>
    </row>
    <row r="10" spans="1:18" ht="14.45">
      <c r="A10" s="7" t="s">
        <v>345</v>
      </c>
      <c r="B10" s="7" t="s">
        <v>346</v>
      </c>
      <c r="C10" s="7"/>
      <c r="D10" s="7" t="s">
        <v>21</v>
      </c>
      <c r="E10" s="7" t="s">
        <v>227</v>
      </c>
      <c r="F10" s="7" t="s">
        <v>347</v>
      </c>
      <c r="G10" s="7" t="s">
        <v>346</v>
      </c>
      <c r="H10" s="7"/>
      <c r="I10" s="7" t="s">
        <v>98</v>
      </c>
      <c r="J10" s="7"/>
      <c r="K10" s="7"/>
      <c r="L10" s="7"/>
      <c r="M10" s="7" t="b">
        <v>0</v>
      </c>
      <c r="N10" s="46"/>
      <c r="O10" s="7"/>
      <c r="P10" s="46">
        <v>8</v>
      </c>
      <c r="Q10" t="s">
        <v>842</v>
      </c>
      <c r="R10" t="s">
        <v>843</v>
      </c>
    </row>
    <row r="11" spans="1:18" ht="14.45">
      <c r="A11" s="8" t="s">
        <v>350</v>
      </c>
      <c r="B11" s="8" t="s">
        <v>351</v>
      </c>
      <c r="C11" s="8">
        <v>100</v>
      </c>
      <c r="D11" s="8" t="s">
        <v>320</v>
      </c>
      <c r="E11" s="8"/>
      <c r="F11" s="8"/>
      <c r="G11" s="8"/>
      <c r="H11" s="8"/>
      <c r="I11" s="8"/>
      <c r="J11" s="8"/>
      <c r="K11" s="8"/>
      <c r="L11" s="8"/>
      <c r="M11" s="8" t="s">
        <v>327</v>
      </c>
      <c r="N11" s="46"/>
      <c r="O11" s="7"/>
      <c r="P11" s="46">
        <v>9</v>
      </c>
      <c r="Q11" t="s">
        <v>844</v>
      </c>
      <c r="R11" t="s">
        <v>845</v>
      </c>
    </row>
    <row r="12" spans="1:18" ht="14.45">
      <c r="A12" s="8" t="s">
        <v>354</v>
      </c>
      <c r="B12" s="8" t="s">
        <v>351</v>
      </c>
      <c r="C12" s="8">
        <v>100</v>
      </c>
      <c r="D12" s="8" t="s">
        <v>320</v>
      </c>
      <c r="E12" s="8"/>
      <c r="F12" s="8"/>
      <c r="G12" s="8"/>
      <c r="H12" s="8"/>
      <c r="I12" s="8"/>
      <c r="J12" s="8"/>
      <c r="K12" s="8"/>
      <c r="L12" s="8"/>
      <c r="M12" s="8" t="s">
        <v>327</v>
      </c>
      <c r="N12" s="46"/>
      <c r="O12" s="7"/>
      <c r="P12" s="46">
        <v>10</v>
      </c>
      <c r="Q12" t="s">
        <v>846</v>
      </c>
      <c r="R12" t="s">
        <v>847</v>
      </c>
    </row>
    <row r="13" spans="1:18" ht="14.45">
      <c r="A13" s="8" t="s">
        <v>357</v>
      </c>
      <c r="B13" s="8" t="s">
        <v>351</v>
      </c>
      <c r="C13" s="8">
        <v>100</v>
      </c>
      <c r="D13" s="8" t="s">
        <v>320</v>
      </c>
      <c r="E13" s="8"/>
      <c r="F13" s="8"/>
      <c r="G13" s="8"/>
      <c r="H13" s="8"/>
      <c r="I13" s="8"/>
      <c r="J13" s="8"/>
      <c r="K13" s="8"/>
      <c r="L13" s="8"/>
      <c r="M13" s="8" t="s">
        <v>327</v>
      </c>
      <c r="N13" s="46"/>
      <c r="O13" s="7"/>
      <c r="P13" s="46">
        <v>11</v>
      </c>
      <c r="Q13" t="s">
        <v>848</v>
      </c>
      <c r="R13" t="s">
        <v>849</v>
      </c>
    </row>
    <row r="14" spans="1:18" ht="14.45">
      <c r="A14" s="8" t="s">
        <v>360</v>
      </c>
      <c r="B14" s="8" t="s">
        <v>351</v>
      </c>
      <c r="C14" s="8">
        <v>100</v>
      </c>
      <c r="D14" s="8" t="s">
        <v>320</v>
      </c>
      <c r="E14" s="8"/>
      <c r="F14" s="8"/>
      <c r="G14" s="8"/>
      <c r="H14" s="8"/>
      <c r="I14" s="8"/>
      <c r="J14" s="8"/>
      <c r="K14" s="8"/>
      <c r="L14" s="8"/>
      <c r="M14" s="8" t="s">
        <v>327</v>
      </c>
      <c r="N14" s="46"/>
      <c r="O14" s="7"/>
      <c r="P14" s="46">
        <v>12</v>
      </c>
      <c r="Q14" t="s">
        <v>850</v>
      </c>
      <c r="R14" t="s">
        <v>851</v>
      </c>
    </row>
    <row r="15" spans="1:18" ht="14.45">
      <c r="A15" s="8" t="s">
        <v>363</v>
      </c>
      <c r="B15" s="8" t="s">
        <v>351</v>
      </c>
      <c r="C15" s="8">
        <v>100</v>
      </c>
      <c r="D15" s="8" t="s">
        <v>320</v>
      </c>
      <c r="E15" s="8"/>
      <c r="F15" s="8"/>
      <c r="G15" s="8"/>
      <c r="H15" s="8"/>
      <c r="I15" s="8"/>
      <c r="J15" s="8"/>
      <c r="K15" s="8"/>
      <c r="L15" s="8"/>
      <c r="M15" s="8" t="s">
        <v>327</v>
      </c>
      <c r="N15" s="46"/>
      <c r="O15" s="7"/>
      <c r="P15" s="46">
        <v>13</v>
      </c>
      <c r="Q15" t="s">
        <v>852</v>
      </c>
      <c r="R15" t="s">
        <v>853</v>
      </c>
    </row>
    <row r="16" spans="1:18" ht="14.45">
      <c r="A16" s="8" t="s">
        <v>366</v>
      </c>
      <c r="B16" s="8" t="s">
        <v>367</v>
      </c>
      <c r="C16" s="8"/>
      <c r="D16" s="8" t="s">
        <v>320</v>
      </c>
      <c r="E16" s="8"/>
      <c r="F16" s="8"/>
      <c r="G16" s="8"/>
      <c r="H16" s="8"/>
      <c r="I16" s="8"/>
      <c r="J16" s="8"/>
      <c r="K16" s="8"/>
      <c r="L16" s="8"/>
      <c r="M16" s="8" t="s">
        <v>368</v>
      </c>
      <c r="N16" s="46"/>
      <c r="O16" s="7"/>
      <c r="P16" s="46">
        <v>14</v>
      </c>
      <c r="Q16" t="s">
        <v>854</v>
      </c>
      <c r="R16" t="s">
        <v>855</v>
      </c>
    </row>
    <row r="17" spans="1:18" ht="14.45">
      <c r="A17" s="8" t="s">
        <v>371</v>
      </c>
      <c r="B17" s="8" t="s">
        <v>367</v>
      </c>
      <c r="C17" s="8"/>
      <c r="D17" s="8" t="s">
        <v>320</v>
      </c>
      <c r="E17" s="8"/>
      <c r="F17" s="8"/>
      <c r="G17" s="8"/>
      <c r="H17" s="8"/>
      <c r="I17" s="8"/>
      <c r="J17" s="8"/>
      <c r="K17" s="8"/>
      <c r="L17" s="8"/>
      <c r="M17" s="8" t="s">
        <v>368</v>
      </c>
      <c r="N17" s="46"/>
      <c r="O17" s="7"/>
      <c r="P17" s="46">
        <v>15</v>
      </c>
      <c r="Q17" t="s">
        <v>856</v>
      </c>
      <c r="R17" t="s">
        <v>857</v>
      </c>
    </row>
    <row r="18" spans="1:18" ht="14.45">
      <c r="A18" s="8" t="s">
        <v>374</v>
      </c>
      <c r="B18" s="8" t="s">
        <v>351</v>
      </c>
      <c r="C18" s="8">
        <v>100</v>
      </c>
      <c r="D18" s="8" t="s">
        <v>320</v>
      </c>
      <c r="E18" s="8"/>
      <c r="F18" s="8"/>
      <c r="G18" s="8"/>
      <c r="H18" s="8"/>
      <c r="I18" s="8"/>
      <c r="J18" s="8"/>
      <c r="K18" s="8"/>
      <c r="L18" s="8"/>
      <c r="M18" s="8" t="s">
        <v>327</v>
      </c>
      <c r="N18" s="46"/>
      <c r="O18" s="7"/>
      <c r="P18" s="46">
        <v>16</v>
      </c>
      <c r="Q18" t="s">
        <v>858</v>
      </c>
      <c r="R18" t="s">
        <v>859</v>
      </c>
    </row>
    <row r="24" spans="1:18" ht="14.45">
      <c r="A24" s="21"/>
      <c r="B24" s="21"/>
      <c r="C24" s="21"/>
    </row>
    <row r="25" spans="1:18" ht="14.45">
      <c r="A25" s="35"/>
      <c r="B25" s="35"/>
      <c r="C25" s="35"/>
    </row>
    <row r="26" spans="1:18" ht="14.45"/>
    <row r="27" spans="1:18" ht="14.45"/>
  </sheetData>
  <conditionalFormatting sqref="Q3">
    <cfRule type="duplicateValues" dxfId="246" priority="3"/>
  </conditionalFormatting>
  <conditionalFormatting sqref="Q5">
    <cfRule type="duplicateValues" dxfId="245" priority="2"/>
  </conditionalFormatting>
  <conditionalFormatting sqref="Q3:Q18">
    <cfRule type="duplicateValues" dxfId="244"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tabColor rgb="FF92D050"/>
  </sheetPr>
  <dimension ref="A1:R20"/>
  <sheetViews>
    <sheetView workbookViewId="0">
      <selection activeCell="E20" sqref="E20"/>
    </sheetView>
  </sheetViews>
  <sheetFormatPr defaultRowHeight="15" customHeight="1"/>
  <cols>
    <col min="1" max="1" width="32.140625" customWidth="1"/>
    <col min="2" max="2" width="16.85546875" customWidth="1"/>
    <col min="3" max="3" width="16.7109375" customWidth="1"/>
    <col min="4" max="4" width="20.7109375" customWidth="1"/>
    <col min="5" max="5" width="27.28515625" customWidth="1"/>
    <col min="6" max="6" width="20.7109375" customWidth="1"/>
    <col min="7" max="9" width="15.7109375" customWidth="1"/>
    <col min="10" max="10" width="52.85546875" customWidth="1"/>
    <col min="11" max="13" width="20.7109375" customWidth="1"/>
    <col min="14" max="14" width="15.7109375" bestFit="1" customWidth="1"/>
    <col min="15" max="15" width="39.28515625" customWidth="1"/>
    <col min="16" max="16" width="17.28515625" bestFit="1" customWidth="1"/>
    <col min="17" max="17" width="38.28515625" bestFit="1" customWidth="1"/>
    <col min="18" max="18" width="36.7109375" bestFit="1" customWidth="1"/>
  </cols>
  <sheetData>
    <row r="1" spans="1:18" ht="60" customHeight="1">
      <c r="A1" s="1" t="s">
        <v>228</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860</v>
      </c>
      <c r="B3" s="6" t="s">
        <v>319</v>
      </c>
      <c r="C3" s="6"/>
      <c r="D3" s="6" t="s">
        <v>320</v>
      </c>
      <c r="E3" s="6"/>
      <c r="F3" s="6"/>
      <c r="G3" s="6"/>
      <c r="H3" s="6"/>
      <c r="I3" s="6" t="s">
        <v>98</v>
      </c>
      <c r="J3" s="6" t="s">
        <v>321</v>
      </c>
      <c r="K3" s="6"/>
      <c r="L3" s="6"/>
      <c r="M3" s="6">
        <v>-1</v>
      </c>
      <c r="N3" s="46"/>
      <c r="O3" s="7"/>
      <c r="P3" s="46">
        <v>1</v>
      </c>
      <c r="Q3" t="s">
        <v>861</v>
      </c>
      <c r="R3" t="s">
        <v>862</v>
      </c>
    </row>
    <row r="4" spans="1:18" ht="14.45">
      <c r="A4" s="9" t="s">
        <v>863</v>
      </c>
      <c r="B4" s="9" t="s">
        <v>351</v>
      </c>
      <c r="C4" s="9">
        <v>255</v>
      </c>
      <c r="D4" s="9" t="s">
        <v>21</v>
      </c>
      <c r="E4" s="9" t="s">
        <v>229</v>
      </c>
      <c r="F4" s="9" t="s">
        <v>864</v>
      </c>
      <c r="G4" s="9" t="s">
        <v>325</v>
      </c>
      <c r="H4" s="9">
        <v>255</v>
      </c>
      <c r="I4" s="9" t="s">
        <v>98</v>
      </c>
      <c r="J4" s="9"/>
      <c r="K4" s="9"/>
      <c r="L4" s="9"/>
      <c r="M4" s="9" t="s">
        <v>327</v>
      </c>
      <c r="N4" s="46"/>
      <c r="O4" s="7" t="s">
        <v>865</v>
      </c>
      <c r="P4" s="46">
        <v>2</v>
      </c>
      <c r="Q4" t="s">
        <v>866</v>
      </c>
      <c r="R4" t="s">
        <v>867</v>
      </c>
    </row>
    <row r="5" spans="1:18" ht="14.45">
      <c r="A5" s="7" t="s">
        <v>868</v>
      </c>
      <c r="B5" s="7" t="s">
        <v>351</v>
      </c>
      <c r="C5" s="7">
        <v>255</v>
      </c>
      <c r="D5" s="7" t="s">
        <v>21</v>
      </c>
      <c r="E5" s="7" t="s">
        <v>229</v>
      </c>
      <c r="F5" s="7" t="s">
        <v>3</v>
      </c>
      <c r="G5" s="7" t="s">
        <v>325</v>
      </c>
      <c r="H5" s="7">
        <v>255</v>
      </c>
      <c r="I5" s="7" t="s">
        <v>74</v>
      </c>
      <c r="J5" s="7"/>
      <c r="K5" s="7"/>
      <c r="L5" s="7"/>
      <c r="M5" s="7" t="s">
        <v>327</v>
      </c>
      <c r="N5" s="46"/>
      <c r="O5" s="7" t="s">
        <v>869</v>
      </c>
      <c r="P5" s="46">
        <v>3</v>
      </c>
      <c r="Q5" t="s">
        <v>870</v>
      </c>
      <c r="R5" t="s">
        <v>871</v>
      </c>
    </row>
    <row r="6" spans="1:18" ht="14.45">
      <c r="A6" s="7" t="s">
        <v>345</v>
      </c>
      <c r="B6" s="7" t="s">
        <v>346</v>
      </c>
      <c r="C6" s="7"/>
      <c r="D6" s="7" t="s">
        <v>21</v>
      </c>
      <c r="E6" s="7" t="s">
        <v>229</v>
      </c>
      <c r="F6" s="7" t="s">
        <v>347</v>
      </c>
      <c r="G6" s="7" t="s">
        <v>346</v>
      </c>
      <c r="H6" s="7"/>
      <c r="I6" s="7" t="s">
        <v>98</v>
      </c>
      <c r="J6" s="7"/>
      <c r="K6" s="7"/>
      <c r="L6" s="7"/>
      <c r="M6" s="7" t="b">
        <v>0</v>
      </c>
      <c r="N6" s="46"/>
      <c r="O6" s="7"/>
      <c r="P6" s="46">
        <v>4</v>
      </c>
      <c r="Q6" t="s">
        <v>872</v>
      </c>
      <c r="R6" t="s">
        <v>873</v>
      </c>
    </row>
    <row r="7" spans="1:18" ht="14.45">
      <c r="A7" s="8" t="s">
        <v>350</v>
      </c>
      <c r="B7" s="8" t="s">
        <v>351</v>
      </c>
      <c r="C7" s="8">
        <v>100</v>
      </c>
      <c r="D7" s="8" t="s">
        <v>320</v>
      </c>
      <c r="E7" s="8"/>
      <c r="F7" s="8"/>
      <c r="G7" s="8"/>
      <c r="H7" s="8"/>
      <c r="I7" s="8"/>
      <c r="J7" s="8"/>
      <c r="K7" s="8"/>
      <c r="L7" s="8"/>
      <c r="M7" s="8" t="s">
        <v>327</v>
      </c>
      <c r="N7" s="46"/>
      <c r="O7" s="7"/>
      <c r="P7" s="46">
        <v>5</v>
      </c>
      <c r="Q7" t="s">
        <v>874</v>
      </c>
      <c r="R7" t="s">
        <v>875</v>
      </c>
    </row>
    <row r="8" spans="1:18" ht="14.45">
      <c r="A8" s="8" t="s">
        <v>354</v>
      </c>
      <c r="B8" s="8" t="s">
        <v>351</v>
      </c>
      <c r="C8" s="8">
        <v>100</v>
      </c>
      <c r="D8" s="8" t="s">
        <v>320</v>
      </c>
      <c r="E8" s="8"/>
      <c r="F8" s="8"/>
      <c r="G8" s="8"/>
      <c r="H8" s="8"/>
      <c r="I8" s="8"/>
      <c r="J8" s="8"/>
      <c r="K8" s="8"/>
      <c r="L8" s="8"/>
      <c r="M8" s="8" t="s">
        <v>327</v>
      </c>
      <c r="N8" s="46"/>
      <c r="O8" s="7"/>
      <c r="P8" s="46">
        <v>6</v>
      </c>
      <c r="Q8" t="s">
        <v>876</v>
      </c>
      <c r="R8" t="s">
        <v>877</v>
      </c>
    </row>
    <row r="9" spans="1:18" ht="14.45">
      <c r="A9" s="8" t="s">
        <v>357</v>
      </c>
      <c r="B9" s="8" t="s">
        <v>351</v>
      </c>
      <c r="C9" s="8">
        <v>100</v>
      </c>
      <c r="D9" s="8" t="s">
        <v>320</v>
      </c>
      <c r="E9" s="8"/>
      <c r="F9" s="8"/>
      <c r="G9" s="8"/>
      <c r="H9" s="8"/>
      <c r="I9" s="8"/>
      <c r="J9" s="8"/>
      <c r="K9" s="8"/>
      <c r="L9" s="8"/>
      <c r="M9" s="8" t="s">
        <v>327</v>
      </c>
      <c r="N9" s="46"/>
      <c r="O9" s="7"/>
      <c r="P9" s="46">
        <v>7</v>
      </c>
      <c r="Q9" t="s">
        <v>878</v>
      </c>
      <c r="R9" t="s">
        <v>879</v>
      </c>
    </row>
    <row r="10" spans="1:18" ht="14.45">
      <c r="A10" s="8" t="s">
        <v>360</v>
      </c>
      <c r="B10" s="8" t="s">
        <v>351</v>
      </c>
      <c r="C10" s="8">
        <v>100</v>
      </c>
      <c r="D10" s="8" t="s">
        <v>320</v>
      </c>
      <c r="E10" s="8"/>
      <c r="F10" s="8"/>
      <c r="G10" s="8"/>
      <c r="H10" s="8"/>
      <c r="I10" s="8"/>
      <c r="J10" s="8"/>
      <c r="K10" s="8"/>
      <c r="L10" s="8"/>
      <c r="M10" s="8" t="s">
        <v>327</v>
      </c>
      <c r="N10" s="46"/>
      <c r="O10" s="7"/>
      <c r="P10" s="46">
        <v>8</v>
      </c>
      <c r="Q10" t="s">
        <v>880</v>
      </c>
      <c r="R10" t="s">
        <v>881</v>
      </c>
    </row>
    <row r="11" spans="1:18" ht="14.45">
      <c r="A11" s="8" t="s">
        <v>363</v>
      </c>
      <c r="B11" s="8" t="s">
        <v>351</v>
      </c>
      <c r="C11" s="8">
        <v>100</v>
      </c>
      <c r="D11" s="8" t="s">
        <v>320</v>
      </c>
      <c r="E11" s="8"/>
      <c r="F11" s="8"/>
      <c r="G11" s="8"/>
      <c r="H11" s="8"/>
      <c r="I11" s="8"/>
      <c r="J11" s="8"/>
      <c r="K11" s="8"/>
      <c r="L11" s="8"/>
      <c r="M11" s="8" t="s">
        <v>327</v>
      </c>
      <c r="N11" s="46"/>
      <c r="O11" s="7"/>
      <c r="P11" s="46">
        <v>9</v>
      </c>
      <c r="Q11" t="s">
        <v>882</v>
      </c>
      <c r="R11" t="s">
        <v>883</v>
      </c>
    </row>
    <row r="12" spans="1:18" ht="14.45">
      <c r="A12" s="8" t="s">
        <v>366</v>
      </c>
      <c r="B12" s="8" t="s">
        <v>367</v>
      </c>
      <c r="C12" s="8"/>
      <c r="D12" s="8" t="s">
        <v>320</v>
      </c>
      <c r="E12" s="8"/>
      <c r="F12" s="8"/>
      <c r="G12" s="8"/>
      <c r="H12" s="8"/>
      <c r="I12" s="8"/>
      <c r="J12" s="8"/>
      <c r="K12" s="8"/>
      <c r="L12" s="8"/>
      <c r="M12" s="8" t="s">
        <v>368</v>
      </c>
      <c r="N12" s="46"/>
      <c r="O12" s="7"/>
      <c r="P12" s="46">
        <v>10</v>
      </c>
      <c r="Q12" t="s">
        <v>884</v>
      </c>
      <c r="R12" t="s">
        <v>885</v>
      </c>
    </row>
    <row r="13" spans="1:18" ht="14.45">
      <c r="A13" s="8" t="s">
        <v>371</v>
      </c>
      <c r="B13" s="8" t="s">
        <v>367</v>
      </c>
      <c r="C13" s="8"/>
      <c r="D13" s="8" t="s">
        <v>320</v>
      </c>
      <c r="E13" s="8"/>
      <c r="F13" s="8"/>
      <c r="G13" s="8"/>
      <c r="H13" s="8"/>
      <c r="I13" s="8"/>
      <c r="J13" s="8"/>
      <c r="K13" s="8"/>
      <c r="L13" s="8"/>
      <c r="M13" s="8" t="s">
        <v>368</v>
      </c>
      <c r="N13" s="46"/>
      <c r="O13" s="7"/>
      <c r="P13" s="46">
        <v>11</v>
      </c>
      <c r="Q13" t="s">
        <v>886</v>
      </c>
      <c r="R13" t="s">
        <v>887</v>
      </c>
    </row>
    <row r="14" spans="1:18" ht="14.45">
      <c r="A14" s="8" t="s">
        <v>374</v>
      </c>
      <c r="B14" s="8" t="s">
        <v>351</v>
      </c>
      <c r="C14" s="8">
        <v>100</v>
      </c>
      <c r="D14" s="8" t="s">
        <v>320</v>
      </c>
      <c r="E14" s="8"/>
      <c r="F14" s="8"/>
      <c r="G14" s="8"/>
      <c r="H14" s="8"/>
      <c r="I14" s="8"/>
      <c r="J14" s="8"/>
      <c r="K14" s="8"/>
      <c r="L14" s="8"/>
      <c r="M14" s="8" t="s">
        <v>327</v>
      </c>
      <c r="N14" s="46"/>
      <c r="O14" s="7"/>
      <c r="P14" s="46">
        <v>12</v>
      </c>
      <c r="Q14" t="s">
        <v>888</v>
      </c>
      <c r="R14" t="s">
        <v>889</v>
      </c>
    </row>
    <row r="19" spans="1:3" ht="14.45">
      <c r="A19" s="21"/>
      <c r="B19" s="21"/>
      <c r="C19" s="21"/>
    </row>
    <row r="20" spans="1:3" ht="14.45">
      <c r="A20" s="35"/>
      <c r="B20" s="35"/>
      <c r="C20" s="35"/>
    </row>
  </sheetData>
  <conditionalFormatting sqref="Q3">
    <cfRule type="duplicateValues" dxfId="243" priority="3"/>
  </conditionalFormatting>
  <conditionalFormatting sqref="Q5">
    <cfRule type="duplicateValues" dxfId="242" priority="2"/>
  </conditionalFormatting>
  <conditionalFormatting sqref="Q3:Q14">
    <cfRule type="duplicateValues" dxfId="241"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tabColor rgb="FF92D050"/>
  </sheetPr>
  <dimension ref="A1:R21"/>
  <sheetViews>
    <sheetView workbookViewId="0">
      <selection activeCell="J8" sqref="J8"/>
    </sheetView>
  </sheetViews>
  <sheetFormatPr defaultRowHeight="15" customHeight="1"/>
  <cols>
    <col min="1" max="1" width="32" customWidth="1"/>
    <col min="2" max="2" width="16" customWidth="1"/>
    <col min="3" max="3" width="15.42578125" customWidth="1"/>
    <col min="4" max="4" width="15.28515625" customWidth="1"/>
    <col min="5" max="5" width="37.7109375" customWidth="1"/>
    <col min="6" max="6" width="26.5703125" bestFit="1"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8.5703125" bestFit="1" customWidth="1"/>
  </cols>
  <sheetData>
    <row r="1" spans="1:18" ht="60" customHeight="1">
      <c r="A1" s="1" t="s">
        <v>233</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890</v>
      </c>
      <c r="B3" s="6" t="s">
        <v>319</v>
      </c>
      <c r="C3" s="6"/>
      <c r="D3" s="6" t="s">
        <v>320</v>
      </c>
      <c r="E3" s="6"/>
      <c r="F3" s="6"/>
      <c r="G3" s="6"/>
      <c r="H3" s="6"/>
      <c r="I3" s="6" t="s">
        <v>98</v>
      </c>
      <c r="J3" s="6" t="s">
        <v>321</v>
      </c>
      <c r="K3" s="6"/>
      <c r="L3" s="6"/>
      <c r="M3" s="6">
        <v>-1</v>
      </c>
      <c r="N3" s="46"/>
      <c r="O3" s="7"/>
      <c r="P3" s="46">
        <v>1</v>
      </c>
      <c r="Q3" t="s">
        <v>891</v>
      </c>
      <c r="R3" t="s">
        <v>892</v>
      </c>
    </row>
    <row r="4" spans="1:18" ht="14.45">
      <c r="A4" s="9" t="s">
        <v>893</v>
      </c>
      <c r="B4" s="9" t="s">
        <v>351</v>
      </c>
      <c r="C4" s="9">
        <v>5</v>
      </c>
      <c r="D4" s="9" t="s">
        <v>21</v>
      </c>
      <c r="E4" s="9" t="s">
        <v>234</v>
      </c>
      <c r="F4" s="9" t="s">
        <v>894</v>
      </c>
      <c r="G4" s="9" t="s">
        <v>325</v>
      </c>
      <c r="H4" s="9">
        <v>255</v>
      </c>
      <c r="I4" s="9" t="s">
        <v>98</v>
      </c>
      <c r="J4" s="9"/>
      <c r="K4" s="9"/>
      <c r="L4" s="9"/>
      <c r="M4" s="9" t="s">
        <v>327</v>
      </c>
      <c r="N4" s="46"/>
      <c r="O4" s="7"/>
      <c r="P4" s="46">
        <v>2</v>
      </c>
      <c r="Q4" t="s">
        <v>895</v>
      </c>
      <c r="R4" t="s">
        <v>896</v>
      </c>
    </row>
    <row r="5" spans="1:18" ht="14.45">
      <c r="A5" s="7" t="s">
        <v>897</v>
      </c>
      <c r="B5" s="7" t="s">
        <v>351</v>
      </c>
      <c r="C5" s="7">
        <v>5</v>
      </c>
      <c r="D5" s="7" t="s">
        <v>21</v>
      </c>
      <c r="E5" s="7" t="s">
        <v>234</v>
      </c>
      <c r="F5" s="7" t="s">
        <v>898</v>
      </c>
      <c r="G5" s="7" t="s">
        <v>325</v>
      </c>
      <c r="H5" s="7">
        <v>255</v>
      </c>
      <c r="I5" s="7" t="s">
        <v>98</v>
      </c>
      <c r="J5" s="7"/>
      <c r="K5" s="7"/>
      <c r="L5" s="7"/>
      <c r="M5" s="7" t="s">
        <v>327</v>
      </c>
      <c r="N5" s="46"/>
      <c r="O5" s="7"/>
      <c r="P5" s="46">
        <v>3</v>
      </c>
      <c r="Q5" t="s">
        <v>899</v>
      </c>
      <c r="R5" t="s">
        <v>900</v>
      </c>
    </row>
    <row r="6" spans="1:18" ht="14.45">
      <c r="A6" s="7" t="s">
        <v>901</v>
      </c>
      <c r="B6" s="7" t="s">
        <v>351</v>
      </c>
      <c r="C6" s="7">
        <v>255</v>
      </c>
      <c r="D6" s="7" t="s">
        <v>21</v>
      </c>
      <c r="E6" s="7" t="s">
        <v>234</v>
      </c>
      <c r="F6" s="7" t="s">
        <v>902</v>
      </c>
      <c r="G6" s="7" t="s">
        <v>325</v>
      </c>
      <c r="H6" s="7">
        <v>255</v>
      </c>
      <c r="I6" s="7" t="s">
        <v>74</v>
      </c>
      <c r="J6" s="7"/>
      <c r="K6" s="7"/>
      <c r="L6" s="7"/>
      <c r="M6" s="7" t="s">
        <v>327</v>
      </c>
      <c r="N6" s="46"/>
      <c r="O6" s="7"/>
      <c r="P6" s="46">
        <v>4</v>
      </c>
      <c r="Q6" t="s">
        <v>903</v>
      </c>
      <c r="R6" t="s">
        <v>904</v>
      </c>
    </row>
    <row r="7" spans="1:18" ht="14.45">
      <c r="A7" s="7" t="s">
        <v>905</v>
      </c>
      <c r="B7" s="7" t="s">
        <v>351</v>
      </c>
      <c r="C7" s="7">
        <v>255</v>
      </c>
      <c r="D7" s="7" t="s">
        <v>21</v>
      </c>
      <c r="E7" s="7" t="s">
        <v>234</v>
      </c>
      <c r="F7" s="7" t="s">
        <v>906</v>
      </c>
      <c r="G7" s="7" t="s">
        <v>325</v>
      </c>
      <c r="H7" s="7">
        <v>255</v>
      </c>
      <c r="I7" s="7" t="s">
        <v>74</v>
      </c>
      <c r="J7" s="7"/>
      <c r="K7" s="7"/>
      <c r="L7" s="7"/>
      <c r="M7" s="7" t="s">
        <v>327</v>
      </c>
      <c r="N7" s="46"/>
      <c r="O7" s="7"/>
      <c r="P7" s="46">
        <v>5</v>
      </c>
      <c r="Q7" t="s">
        <v>907</v>
      </c>
      <c r="R7" t="s">
        <v>908</v>
      </c>
    </row>
    <row r="8" spans="1:18" ht="14.45">
      <c r="A8" s="7" t="s">
        <v>345</v>
      </c>
      <c r="B8" s="7" t="s">
        <v>346</v>
      </c>
      <c r="C8" s="7"/>
      <c r="D8" s="7" t="s">
        <v>21</v>
      </c>
      <c r="E8" s="7" t="s">
        <v>234</v>
      </c>
      <c r="F8" s="7" t="s">
        <v>347</v>
      </c>
      <c r="G8" s="7" t="s">
        <v>346</v>
      </c>
      <c r="H8" s="7"/>
      <c r="I8" s="7" t="s">
        <v>98</v>
      </c>
      <c r="J8" s="7"/>
      <c r="K8" s="7"/>
      <c r="L8" s="7"/>
      <c r="M8" s="7" t="b">
        <v>0</v>
      </c>
      <c r="N8" s="46"/>
      <c r="O8" s="7"/>
      <c r="P8" s="46">
        <v>6</v>
      </c>
      <c r="Q8" t="s">
        <v>909</v>
      </c>
      <c r="R8" t="s">
        <v>910</v>
      </c>
    </row>
    <row r="9" spans="1:18" ht="14.45">
      <c r="A9" s="8" t="s">
        <v>350</v>
      </c>
      <c r="B9" s="8" t="s">
        <v>351</v>
      </c>
      <c r="C9" s="8">
        <v>100</v>
      </c>
      <c r="D9" s="8" t="s">
        <v>320</v>
      </c>
      <c r="E9" s="8"/>
      <c r="F9" s="8"/>
      <c r="G9" s="8"/>
      <c r="H9" s="8"/>
      <c r="I9" s="8"/>
      <c r="J9" s="8"/>
      <c r="K9" s="8"/>
      <c r="L9" s="8"/>
      <c r="M9" s="8" t="s">
        <v>327</v>
      </c>
      <c r="N9" s="46"/>
      <c r="O9" s="7"/>
      <c r="P9" s="46">
        <v>7</v>
      </c>
      <c r="Q9" t="s">
        <v>911</v>
      </c>
      <c r="R9" t="s">
        <v>912</v>
      </c>
    </row>
    <row r="10" spans="1:18" ht="14.45">
      <c r="A10" s="8" t="s">
        <v>354</v>
      </c>
      <c r="B10" s="8" t="s">
        <v>351</v>
      </c>
      <c r="C10" s="8">
        <v>100</v>
      </c>
      <c r="D10" s="8" t="s">
        <v>320</v>
      </c>
      <c r="E10" s="8"/>
      <c r="F10" s="8"/>
      <c r="G10" s="8"/>
      <c r="H10" s="8"/>
      <c r="I10" s="8"/>
      <c r="J10" s="8"/>
      <c r="K10" s="8"/>
      <c r="L10" s="8"/>
      <c r="M10" s="8" t="s">
        <v>327</v>
      </c>
      <c r="N10" s="46"/>
      <c r="O10" s="7"/>
      <c r="P10" s="46">
        <v>8</v>
      </c>
      <c r="Q10" t="s">
        <v>913</v>
      </c>
      <c r="R10" t="s">
        <v>914</v>
      </c>
    </row>
    <row r="11" spans="1:18" ht="14.45">
      <c r="A11" s="8" t="s">
        <v>357</v>
      </c>
      <c r="B11" s="8" t="s">
        <v>351</v>
      </c>
      <c r="C11" s="8">
        <v>100</v>
      </c>
      <c r="D11" s="8" t="s">
        <v>320</v>
      </c>
      <c r="E11" s="8"/>
      <c r="F11" s="8"/>
      <c r="G11" s="8"/>
      <c r="H11" s="8"/>
      <c r="I11" s="8"/>
      <c r="J11" s="8"/>
      <c r="K11" s="8"/>
      <c r="L11" s="8"/>
      <c r="M11" s="8" t="s">
        <v>327</v>
      </c>
      <c r="N11" s="46"/>
      <c r="O11" s="7"/>
      <c r="P11" s="46">
        <v>9</v>
      </c>
      <c r="Q11" t="s">
        <v>915</v>
      </c>
      <c r="R11" t="s">
        <v>916</v>
      </c>
    </row>
    <row r="12" spans="1:18" ht="14.45">
      <c r="A12" s="8" t="s">
        <v>360</v>
      </c>
      <c r="B12" s="8" t="s">
        <v>351</v>
      </c>
      <c r="C12" s="8">
        <v>100</v>
      </c>
      <c r="D12" s="8" t="s">
        <v>320</v>
      </c>
      <c r="E12" s="8"/>
      <c r="F12" s="8"/>
      <c r="G12" s="8"/>
      <c r="H12" s="8"/>
      <c r="I12" s="8"/>
      <c r="J12" s="8"/>
      <c r="K12" s="8"/>
      <c r="L12" s="8"/>
      <c r="M12" s="8" t="s">
        <v>327</v>
      </c>
      <c r="N12" s="46"/>
      <c r="O12" s="7"/>
      <c r="P12" s="46">
        <v>10</v>
      </c>
      <c r="Q12" t="s">
        <v>917</v>
      </c>
      <c r="R12" t="s">
        <v>918</v>
      </c>
    </row>
    <row r="13" spans="1:18" ht="14.45">
      <c r="A13" s="8" t="s">
        <v>363</v>
      </c>
      <c r="B13" s="8" t="s">
        <v>351</v>
      </c>
      <c r="C13" s="8">
        <v>100</v>
      </c>
      <c r="D13" s="8" t="s">
        <v>320</v>
      </c>
      <c r="E13" s="8"/>
      <c r="F13" s="8"/>
      <c r="G13" s="8"/>
      <c r="H13" s="8"/>
      <c r="I13" s="8"/>
      <c r="J13" s="8"/>
      <c r="K13" s="8"/>
      <c r="L13" s="8"/>
      <c r="M13" s="8" t="s">
        <v>327</v>
      </c>
      <c r="N13" s="46"/>
      <c r="O13" s="7"/>
      <c r="P13" s="46">
        <v>11</v>
      </c>
      <c r="Q13" t="s">
        <v>919</v>
      </c>
      <c r="R13" t="s">
        <v>920</v>
      </c>
    </row>
    <row r="14" spans="1:18" ht="14.45">
      <c r="A14" s="8" t="s">
        <v>366</v>
      </c>
      <c r="B14" s="8" t="s">
        <v>367</v>
      </c>
      <c r="C14" s="8"/>
      <c r="D14" s="8" t="s">
        <v>320</v>
      </c>
      <c r="E14" s="8"/>
      <c r="F14" s="8"/>
      <c r="G14" s="8"/>
      <c r="H14" s="8"/>
      <c r="I14" s="8"/>
      <c r="J14" s="8"/>
      <c r="K14" s="8"/>
      <c r="L14" s="8"/>
      <c r="M14" s="8" t="s">
        <v>368</v>
      </c>
      <c r="N14" s="46"/>
      <c r="O14" s="7"/>
      <c r="P14" s="46">
        <v>12</v>
      </c>
      <c r="Q14" t="s">
        <v>921</v>
      </c>
      <c r="R14" t="s">
        <v>922</v>
      </c>
    </row>
    <row r="15" spans="1:18" ht="14.45">
      <c r="A15" s="8" t="s">
        <v>371</v>
      </c>
      <c r="B15" s="8" t="s">
        <v>367</v>
      </c>
      <c r="C15" s="8"/>
      <c r="D15" s="8" t="s">
        <v>320</v>
      </c>
      <c r="E15" s="8"/>
      <c r="F15" s="8"/>
      <c r="G15" s="8"/>
      <c r="H15" s="8"/>
      <c r="I15" s="8"/>
      <c r="J15" s="8"/>
      <c r="K15" s="8"/>
      <c r="L15" s="8"/>
      <c r="M15" s="8" t="s">
        <v>368</v>
      </c>
      <c r="N15" s="46"/>
      <c r="O15" s="7"/>
      <c r="P15" s="46">
        <v>13</v>
      </c>
      <c r="Q15" t="s">
        <v>923</v>
      </c>
      <c r="R15" t="s">
        <v>924</v>
      </c>
    </row>
    <row r="16" spans="1:18" ht="14.45">
      <c r="A16" s="8" t="s">
        <v>374</v>
      </c>
      <c r="B16" s="8" t="s">
        <v>351</v>
      </c>
      <c r="C16" s="8">
        <v>100</v>
      </c>
      <c r="D16" s="8" t="s">
        <v>320</v>
      </c>
      <c r="E16" s="8"/>
      <c r="F16" s="8"/>
      <c r="G16" s="8"/>
      <c r="H16" s="8"/>
      <c r="I16" s="8"/>
      <c r="J16" s="8"/>
      <c r="K16" s="8"/>
      <c r="L16" s="8"/>
      <c r="M16" s="8" t="s">
        <v>327</v>
      </c>
      <c r="N16" s="46"/>
      <c r="O16" s="7"/>
      <c r="P16" s="46">
        <v>14</v>
      </c>
      <c r="Q16" t="s">
        <v>925</v>
      </c>
      <c r="R16" t="s">
        <v>926</v>
      </c>
    </row>
    <row r="20" spans="1:3" ht="14.45">
      <c r="A20" s="21"/>
      <c r="B20" s="21"/>
      <c r="C20" s="21"/>
    </row>
    <row r="21" spans="1:3" ht="14.45">
      <c r="A21" s="35"/>
      <c r="B21" s="35"/>
      <c r="C21" s="35"/>
    </row>
  </sheetData>
  <conditionalFormatting sqref="Q5">
    <cfRule type="duplicateValues" dxfId="240" priority="2"/>
  </conditionalFormatting>
  <conditionalFormatting sqref="Q3:Q16">
    <cfRule type="duplicateValues" dxfId="239" priority="1"/>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tabColor rgb="FF92D050"/>
  </sheetPr>
  <dimension ref="A1:S43"/>
  <sheetViews>
    <sheetView zoomScale="85" zoomScaleNormal="85" workbookViewId="0">
      <selection activeCell="B1" sqref="B1:B1048576"/>
    </sheetView>
  </sheetViews>
  <sheetFormatPr defaultRowHeight="15" customHeight="1"/>
  <cols>
    <col min="1" max="1" width="36" customWidth="1"/>
    <col min="2" max="2" width="17.85546875" customWidth="1"/>
    <col min="3" max="3" width="16" customWidth="1"/>
    <col min="4" max="4" width="20.7109375" customWidth="1"/>
    <col min="5" max="5" width="24.28515625" customWidth="1"/>
    <col min="6" max="6" width="20.7109375" customWidth="1"/>
    <col min="7" max="9" width="15.7109375" customWidth="1"/>
    <col min="10" max="10" width="43" customWidth="1"/>
    <col min="11" max="13" width="20.7109375" customWidth="1"/>
    <col min="14" max="14" width="14.85546875" bestFit="1" customWidth="1"/>
    <col min="15" max="15" width="39.28515625" customWidth="1"/>
    <col min="16" max="16" width="17.28515625" bestFit="1" customWidth="1"/>
    <col min="17" max="17" width="38.28515625" bestFit="1" customWidth="1"/>
    <col min="18" max="18" width="32.85546875" bestFit="1" customWidth="1"/>
  </cols>
  <sheetData>
    <row r="1" spans="1:19" ht="60" customHeight="1">
      <c r="A1" s="1" t="s">
        <v>236</v>
      </c>
      <c r="B1" s="1"/>
      <c r="C1" s="1"/>
      <c r="F1" s="2" t="s">
        <v>297</v>
      </c>
      <c r="K1" s="3" t="s">
        <v>298</v>
      </c>
      <c r="L1" s="4" t="s">
        <v>299</v>
      </c>
      <c r="M1" s="19" t="s">
        <v>300</v>
      </c>
      <c r="N1" s="23" t="s">
        <v>301</v>
      </c>
    </row>
    <row r="2" spans="1:19"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9" ht="14.45">
      <c r="A3" s="6" t="s">
        <v>927</v>
      </c>
      <c r="B3" s="6" t="s">
        <v>319</v>
      </c>
      <c r="C3" s="6"/>
      <c r="D3" s="6" t="s">
        <v>320</v>
      </c>
      <c r="E3" s="6"/>
      <c r="F3" s="6"/>
      <c r="G3" s="6"/>
      <c r="H3" s="6"/>
      <c r="I3" s="6" t="s">
        <v>98</v>
      </c>
      <c r="J3" s="6" t="s">
        <v>321</v>
      </c>
      <c r="K3" s="6"/>
      <c r="L3" s="6"/>
      <c r="M3" s="6">
        <v>-1</v>
      </c>
      <c r="N3" s="46"/>
      <c r="O3" s="7"/>
      <c r="P3" s="46">
        <v>1</v>
      </c>
      <c r="Q3" s="76" t="s">
        <v>928</v>
      </c>
      <c r="R3" s="76" t="s">
        <v>929</v>
      </c>
    </row>
    <row r="4" spans="1:19" ht="14.45">
      <c r="A4" s="9" t="s">
        <v>930</v>
      </c>
      <c r="B4" s="9" t="s">
        <v>351</v>
      </c>
      <c r="C4" s="9">
        <v>10</v>
      </c>
      <c r="D4" s="9" t="s">
        <v>21</v>
      </c>
      <c r="E4" s="9" t="s">
        <v>931</v>
      </c>
      <c r="F4" s="9" t="s">
        <v>932</v>
      </c>
      <c r="G4" s="9" t="s">
        <v>325</v>
      </c>
      <c r="H4" s="9">
        <v>255</v>
      </c>
      <c r="I4" s="9" t="s">
        <v>98</v>
      </c>
      <c r="J4" s="9"/>
      <c r="K4" s="9"/>
      <c r="L4" s="9"/>
      <c r="M4" s="9" t="s">
        <v>327</v>
      </c>
      <c r="N4" s="46"/>
      <c r="O4" s="7"/>
      <c r="P4" s="46">
        <v>2</v>
      </c>
      <c r="Q4" s="76" t="s">
        <v>933</v>
      </c>
      <c r="R4" s="76" t="s">
        <v>934</v>
      </c>
    </row>
    <row r="5" spans="1:19" ht="14.45">
      <c r="A5" s="7" t="s">
        <v>487</v>
      </c>
      <c r="B5" s="7" t="s">
        <v>351</v>
      </c>
      <c r="C5" s="7">
        <v>25</v>
      </c>
      <c r="D5" s="7" t="s">
        <v>21</v>
      </c>
      <c r="E5" s="7" t="s">
        <v>931</v>
      </c>
      <c r="F5" s="7" t="s">
        <v>488</v>
      </c>
      <c r="G5" s="7" t="s">
        <v>325</v>
      </c>
      <c r="H5" s="7">
        <v>255</v>
      </c>
      <c r="I5" s="7" t="s">
        <v>98</v>
      </c>
      <c r="J5" s="7"/>
      <c r="K5" s="7"/>
      <c r="L5" s="7"/>
      <c r="M5" s="7" t="s">
        <v>327</v>
      </c>
      <c r="N5" s="46"/>
      <c r="O5" s="7" t="s">
        <v>935</v>
      </c>
      <c r="P5" s="46">
        <v>3</v>
      </c>
      <c r="Q5" s="76" t="s">
        <v>936</v>
      </c>
      <c r="R5" s="76" t="s">
        <v>937</v>
      </c>
    </row>
    <row r="6" spans="1:19" ht="14.45">
      <c r="A6" s="83" t="s">
        <v>938</v>
      </c>
      <c r="B6" s="83" t="s">
        <v>351</v>
      </c>
      <c r="C6" s="83">
        <v>50</v>
      </c>
      <c r="D6" s="83" t="s">
        <v>12</v>
      </c>
      <c r="E6" s="83" t="s">
        <v>939</v>
      </c>
      <c r="F6" s="83" t="s">
        <v>940</v>
      </c>
      <c r="G6" s="83" t="s">
        <v>431</v>
      </c>
      <c r="H6" s="83"/>
      <c r="I6" s="83" t="s">
        <v>74</v>
      </c>
      <c r="J6" s="83" t="s">
        <v>941</v>
      </c>
      <c r="K6" s="83"/>
      <c r="L6" s="83" t="s">
        <v>942</v>
      </c>
      <c r="M6" s="83" t="s">
        <v>327</v>
      </c>
      <c r="N6" s="46"/>
      <c r="O6" s="7" t="s">
        <v>943</v>
      </c>
      <c r="P6" s="46">
        <v>4</v>
      </c>
      <c r="Q6" s="76" t="s">
        <v>944</v>
      </c>
      <c r="R6" s="76" t="s">
        <v>945</v>
      </c>
    </row>
    <row r="7" spans="1:19" ht="15" customHeight="1">
      <c r="A7" s="39" t="s">
        <v>479</v>
      </c>
      <c r="B7" s="39" t="s">
        <v>319</v>
      </c>
      <c r="C7" s="39"/>
      <c r="D7" s="39" t="s">
        <v>66</v>
      </c>
      <c r="E7" s="39" t="s">
        <v>146</v>
      </c>
      <c r="F7" s="39" t="s">
        <v>479</v>
      </c>
      <c r="G7" s="39" t="s">
        <v>319</v>
      </c>
      <c r="H7" s="39"/>
      <c r="I7" s="39" t="s">
        <v>74</v>
      </c>
      <c r="J7" s="39" t="s">
        <v>946</v>
      </c>
      <c r="K7" s="39"/>
      <c r="L7" s="39"/>
      <c r="M7" s="39">
        <v>-1</v>
      </c>
      <c r="N7" s="46"/>
      <c r="O7" s="7" t="s">
        <v>943</v>
      </c>
      <c r="P7" s="46">
        <v>5</v>
      </c>
      <c r="Q7" s="76" t="s">
        <v>947</v>
      </c>
      <c r="R7" s="76" t="s">
        <v>948</v>
      </c>
    </row>
    <row r="8" spans="1:19" ht="14.45">
      <c r="A8" s="7" t="s">
        <v>949</v>
      </c>
      <c r="B8" s="7" t="s">
        <v>351</v>
      </c>
      <c r="C8" s="7">
        <v>255</v>
      </c>
      <c r="D8" s="7" t="s">
        <v>21</v>
      </c>
      <c r="E8" s="7" t="s">
        <v>931</v>
      </c>
      <c r="F8" s="7" t="s">
        <v>1</v>
      </c>
      <c r="G8" s="7" t="s">
        <v>325</v>
      </c>
      <c r="H8" s="7">
        <v>255</v>
      </c>
      <c r="I8" s="7" t="s">
        <v>74</v>
      </c>
      <c r="J8" s="7"/>
      <c r="K8" s="7"/>
      <c r="L8" s="7"/>
      <c r="M8" s="7" t="s">
        <v>327</v>
      </c>
      <c r="N8" s="46"/>
      <c r="O8" s="7"/>
      <c r="P8" s="46">
        <v>6</v>
      </c>
      <c r="Q8" s="76" t="s">
        <v>950</v>
      </c>
      <c r="R8" s="76" t="s">
        <v>951</v>
      </c>
    </row>
    <row r="9" spans="1:19" ht="14.45">
      <c r="A9" s="83" t="s">
        <v>952</v>
      </c>
      <c r="B9" s="83" t="s">
        <v>351</v>
      </c>
      <c r="C9" s="83">
        <v>255</v>
      </c>
      <c r="D9" s="83" t="s">
        <v>21</v>
      </c>
      <c r="E9" s="83" t="s">
        <v>931</v>
      </c>
      <c r="F9" s="83" t="s">
        <v>953</v>
      </c>
      <c r="G9" s="83" t="s">
        <v>325</v>
      </c>
      <c r="H9" s="83">
        <v>255</v>
      </c>
      <c r="I9" s="83" t="s">
        <v>74</v>
      </c>
      <c r="J9" s="83"/>
      <c r="K9" s="83"/>
      <c r="L9" s="83"/>
      <c r="M9" s="83" t="s">
        <v>327</v>
      </c>
      <c r="N9" s="46"/>
      <c r="O9" s="7"/>
      <c r="P9" s="46">
        <v>7</v>
      </c>
      <c r="Q9" t="str">
        <f t="shared" ref="Q9" ca="1" si="0">UPPER(
DEC2HEX(RANDBETWEEN(0,65535),4)&amp;DEC2HEX(RANDBETWEEN(0,65535),4)&amp;"-"&amp;
DEC2HEX(RANDBETWEEN(0,65535),4)&amp;"-"&amp;
DEC2HEX(RANDBETWEEN(0,65535),4)&amp;"-"&amp;
DEC2HEX(RANDBETWEEN(0,65535),4)&amp;"-"&amp;
DEC2HEX(RANDBETWEEN(0,65535),4)&amp;DEC2HEX(RANDBETWEEN(0,65535),4)&amp;DEC2HEX(RANDBETWEEN(0,65535),4)
)</f>
        <v>A1F779F6-17D4-7188-E760-15C2C1993A1A</v>
      </c>
      <c r="R9" s="76" t="s">
        <v>954</v>
      </c>
    </row>
    <row r="10" spans="1:19" ht="14.45">
      <c r="A10" s="83" t="s">
        <v>955</v>
      </c>
      <c r="B10" s="83" t="s">
        <v>351</v>
      </c>
      <c r="C10" s="83">
        <v>255</v>
      </c>
      <c r="D10" s="83" t="s">
        <v>21</v>
      </c>
      <c r="E10" s="83" t="s">
        <v>931</v>
      </c>
      <c r="F10" s="83" t="s">
        <v>956</v>
      </c>
      <c r="G10" s="83" t="s">
        <v>325</v>
      </c>
      <c r="H10" s="83">
        <v>255</v>
      </c>
      <c r="I10" s="83" t="s">
        <v>74</v>
      </c>
      <c r="J10" s="83"/>
      <c r="K10" s="83"/>
      <c r="L10" s="83"/>
      <c r="M10" s="83" t="s">
        <v>327</v>
      </c>
      <c r="N10" s="46"/>
      <c r="O10" s="7"/>
      <c r="P10" s="46">
        <v>8</v>
      </c>
      <c r="Q10" s="76" t="s">
        <v>957</v>
      </c>
      <c r="R10" s="76" t="s">
        <v>958</v>
      </c>
    </row>
    <row r="11" spans="1:19" ht="14.45">
      <c r="A11" s="83" t="s">
        <v>959</v>
      </c>
      <c r="B11" s="83" t="s">
        <v>351</v>
      </c>
      <c r="C11" s="83">
        <v>255</v>
      </c>
      <c r="D11" s="83" t="s">
        <v>21</v>
      </c>
      <c r="E11" s="83" t="s">
        <v>931</v>
      </c>
      <c r="F11" s="83" t="s">
        <v>960</v>
      </c>
      <c r="G11" s="83" t="s">
        <v>325</v>
      </c>
      <c r="H11" s="83">
        <v>255</v>
      </c>
      <c r="I11" s="83" t="s">
        <v>74</v>
      </c>
      <c r="J11" s="83"/>
      <c r="K11" s="83"/>
      <c r="L11" s="83"/>
      <c r="M11" s="83" t="s">
        <v>327</v>
      </c>
      <c r="N11" s="46"/>
      <c r="O11" s="7"/>
      <c r="P11" s="46">
        <v>9</v>
      </c>
      <c r="Q11" s="76" t="s">
        <v>961</v>
      </c>
      <c r="R11" s="76" t="s">
        <v>962</v>
      </c>
    </row>
    <row r="12" spans="1:19" ht="14.45">
      <c r="A12" s="83" t="s">
        <v>963</v>
      </c>
      <c r="B12" s="83" t="s">
        <v>351</v>
      </c>
      <c r="C12" s="83">
        <v>255</v>
      </c>
      <c r="D12" s="83" t="s">
        <v>21</v>
      </c>
      <c r="E12" s="83" t="s">
        <v>931</v>
      </c>
      <c r="F12" s="83" t="s">
        <v>964</v>
      </c>
      <c r="G12" s="83" t="s">
        <v>325</v>
      </c>
      <c r="H12" s="83">
        <v>255</v>
      </c>
      <c r="I12" s="83" t="s">
        <v>74</v>
      </c>
      <c r="J12" s="83"/>
      <c r="K12" s="83"/>
      <c r="L12" s="83"/>
      <c r="M12" s="83" t="s">
        <v>327</v>
      </c>
      <c r="N12" s="46"/>
      <c r="O12" s="7"/>
      <c r="P12" s="46">
        <v>10</v>
      </c>
      <c r="Q12" s="76" t="s">
        <v>965</v>
      </c>
      <c r="R12" s="76" t="s">
        <v>966</v>
      </c>
    </row>
    <row r="13" spans="1:19" ht="14.45">
      <c r="A13" s="83" t="s">
        <v>967</v>
      </c>
      <c r="B13" s="83" t="s">
        <v>351</v>
      </c>
      <c r="C13" s="83">
        <v>255</v>
      </c>
      <c r="D13" s="83" t="s">
        <v>21</v>
      </c>
      <c r="E13" s="83" t="s">
        <v>931</v>
      </c>
      <c r="F13" s="83" t="s">
        <v>968</v>
      </c>
      <c r="G13" s="83" t="s">
        <v>325</v>
      </c>
      <c r="H13" s="83">
        <v>255</v>
      </c>
      <c r="I13" s="83" t="s">
        <v>74</v>
      </c>
      <c r="J13" s="83"/>
      <c r="K13" s="83"/>
      <c r="L13" s="83"/>
      <c r="M13" s="83" t="s">
        <v>327</v>
      </c>
      <c r="N13" s="46"/>
      <c r="O13" s="7"/>
      <c r="P13" s="46">
        <v>11</v>
      </c>
      <c r="Q13" s="76" t="s">
        <v>969</v>
      </c>
      <c r="R13" s="76" t="s">
        <v>970</v>
      </c>
    </row>
    <row r="14" spans="1:19" s="67" customFormat="1" ht="14.45">
      <c r="A14" s="83" t="s">
        <v>496</v>
      </c>
      <c r="B14" s="83" t="s">
        <v>351</v>
      </c>
      <c r="C14" s="83">
        <v>255</v>
      </c>
      <c r="D14" s="83" t="s">
        <v>21</v>
      </c>
      <c r="E14" s="83" t="s">
        <v>931</v>
      </c>
      <c r="F14" s="83" t="s">
        <v>497</v>
      </c>
      <c r="G14" s="83" t="s">
        <v>325</v>
      </c>
      <c r="H14" s="83">
        <v>255</v>
      </c>
      <c r="I14" s="83" t="s">
        <v>74</v>
      </c>
      <c r="J14" s="83"/>
      <c r="K14" s="83"/>
      <c r="L14" s="83"/>
      <c r="M14" s="83" t="s">
        <v>327</v>
      </c>
      <c r="N14" s="46"/>
      <c r="O14" s="7"/>
      <c r="P14" s="46">
        <v>12</v>
      </c>
      <c r="Q14" s="76" t="s">
        <v>971</v>
      </c>
      <c r="R14" s="76" t="s">
        <v>972</v>
      </c>
      <c r="S14" s="35"/>
    </row>
    <row r="15" spans="1:19" s="67" customFormat="1" ht="14.45">
      <c r="A15" s="83" t="s">
        <v>973</v>
      </c>
      <c r="B15" s="83" t="s">
        <v>351</v>
      </c>
      <c r="C15" s="83">
        <v>50</v>
      </c>
      <c r="D15" s="83" t="s">
        <v>21</v>
      </c>
      <c r="E15" s="83" t="s">
        <v>931</v>
      </c>
      <c r="F15" s="83" t="s">
        <v>974</v>
      </c>
      <c r="G15" s="83" t="s">
        <v>325</v>
      </c>
      <c r="H15" s="83">
        <v>255</v>
      </c>
      <c r="I15" s="83" t="s">
        <v>74</v>
      </c>
      <c r="J15" s="83"/>
      <c r="K15" s="83"/>
      <c r="L15" s="83"/>
      <c r="M15" s="83" t="s">
        <v>327</v>
      </c>
      <c r="N15" s="46"/>
      <c r="O15" s="7"/>
      <c r="P15" s="46">
        <v>13</v>
      </c>
      <c r="Q15" s="76" t="s">
        <v>975</v>
      </c>
      <c r="R15" s="76" t="s">
        <v>976</v>
      </c>
      <c r="S15" s="35"/>
    </row>
    <row r="16" spans="1:19" s="67" customFormat="1" ht="14.45">
      <c r="A16" s="83" t="s">
        <v>977</v>
      </c>
      <c r="B16" s="83" t="s">
        <v>351</v>
      </c>
      <c r="C16" s="83">
        <v>50</v>
      </c>
      <c r="D16" s="83" t="s">
        <v>21</v>
      </c>
      <c r="E16" s="83" t="s">
        <v>931</v>
      </c>
      <c r="F16" s="83" t="s">
        <v>978</v>
      </c>
      <c r="G16" s="83" t="s">
        <v>325</v>
      </c>
      <c r="H16" s="83">
        <v>255</v>
      </c>
      <c r="I16" s="83" t="s">
        <v>74</v>
      </c>
      <c r="J16" s="83"/>
      <c r="K16" s="83"/>
      <c r="L16" s="83"/>
      <c r="M16" s="83" t="s">
        <v>327</v>
      </c>
      <c r="N16" s="46"/>
      <c r="O16" s="7"/>
      <c r="P16" s="46">
        <v>14</v>
      </c>
      <c r="Q16" s="76" t="s">
        <v>979</v>
      </c>
      <c r="R16" s="76" t="s">
        <v>980</v>
      </c>
      <c r="S16" s="35"/>
    </row>
    <row r="17" spans="1:18" ht="14.45">
      <c r="A17" s="84" t="s">
        <v>500</v>
      </c>
      <c r="B17" s="84" t="s">
        <v>351</v>
      </c>
      <c r="C17" s="84">
        <v>50</v>
      </c>
      <c r="D17" s="84" t="s">
        <v>21</v>
      </c>
      <c r="E17" s="84" t="s">
        <v>931</v>
      </c>
      <c r="F17" s="84" t="s">
        <v>981</v>
      </c>
      <c r="G17" s="84" t="s">
        <v>325</v>
      </c>
      <c r="H17" s="84">
        <v>255</v>
      </c>
      <c r="I17" s="84" t="s">
        <v>74</v>
      </c>
      <c r="J17" s="85"/>
      <c r="K17" s="84"/>
      <c r="L17" s="84"/>
      <c r="M17" s="84" t="s">
        <v>327</v>
      </c>
      <c r="N17" s="46"/>
      <c r="O17" s="7" t="s">
        <v>943</v>
      </c>
      <c r="P17" s="46">
        <v>15</v>
      </c>
      <c r="Q17" s="76" t="s">
        <v>982</v>
      </c>
      <c r="R17" s="76" t="s">
        <v>983</v>
      </c>
    </row>
    <row r="18" spans="1:18" ht="14.45">
      <c r="A18" s="83" t="s">
        <v>984</v>
      </c>
      <c r="B18" s="83" t="s">
        <v>351</v>
      </c>
      <c r="C18" s="83">
        <v>50</v>
      </c>
      <c r="D18" s="83" t="s">
        <v>21</v>
      </c>
      <c r="E18" s="83" t="s">
        <v>931</v>
      </c>
      <c r="F18" s="83" t="s">
        <v>985</v>
      </c>
      <c r="G18" s="83" t="s">
        <v>325</v>
      </c>
      <c r="H18" s="83">
        <v>255</v>
      </c>
      <c r="I18" s="83" t="s">
        <v>74</v>
      </c>
      <c r="J18" s="83" t="s">
        <v>986</v>
      </c>
      <c r="K18" s="83"/>
      <c r="L18" s="83"/>
      <c r="M18" s="83" t="s">
        <v>327</v>
      </c>
      <c r="N18" s="46"/>
      <c r="O18" s="7"/>
      <c r="P18" s="46">
        <v>16</v>
      </c>
      <c r="Q18" s="76" t="s">
        <v>987</v>
      </c>
      <c r="R18" s="76" t="s">
        <v>988</v>
      </c>
    </row>
    <row r="19" spans="1:18" ht="14.45">
      <c r="A19" s="83" t="s">
        <v>989</v>
      </c>
      <c r="B19" s="83" t="s">
        <v>351</v>
      </c>
      <c r="C19" s="83">
        <v>50</v>
      </c>
      <c r="D19" s="83" t="s">
        <v>21</v>
      </c>
      <c r="E19" s="83" t="s">
        <v>931</v>
      </c>
      <c r="F19" s="83" t="s">
        <v>990</v>
      </c>
      <c r="G19" s="83" t="s">
        <v>325</v>
      </c>
      <c r="H19" s="83">
        <v>255</v>
      </c>
      <c r="I19" s="83" t="s">
        <v>74</v>
      </c>
      <c r="J19" s="83"/>
      <c r="K19" s="83"/>
      <c r="L19" s="83"/>
      <c r="M19" s="83" t="s">
        <v>327</v>
      </c>
      <c r="N19" s="46"/>
      <c r="O19" s="7"/>
      <c r="P19" s="46">
        <v>17</v>
      </c>
      <c r="Q19" s="76" t="s">
        <v>991</v>
      </c>
      <c r="R19" s="76" t="s">
        <v>992</v>
      </c>
    </row>
    <row r="20" spans="1:18" ht="14.45">
      <c r="A20" s="83" t="s">
        <v>993</v>
      </c>
      <c r="B20" s="83" t="s">
        <v>351</v>
      </c>
      <c r="C20" s="83">
        <v>200</v>
      </c>
      <c r="D20" s="83" t="s">
        <v>21</v>
      </c>
      <c r="E20" s="83" t="s">
        <v>931</v>
      </c>
      <c r="F20" s="83" t="s">
        <v>994</v>
      </c>
      <c r="G20" s="83" t="s">
        <v>325</v>
      </c>
      <c r="H20" s="83">
        <v>255</v>
      </c>
      <c r="I20" s="83" t="s">
        <v>74</v>
      </c>
      <c r="J20" s="83" t="s">
        <v>995</v>
      </c>
      <c r="K20" s="83"/>
      <c r="L20" s="83"/>
      <c r="M20" s="83" t="s">
        <v>327</v>
      </c>
      <c r="N20" s="46"/>
      <c r="O20" s="7"/>
      <c r="P20" s="46">
        <v>18</v>
      </c>
      <c r="Q20" s="76" t="s">
        <v>996</v>
      </c>
      <c r="R20" s="76" t="s">
        <v>997</v>
      </c>
    </row>
    <row r="21" spans="1:18" ht="14.45">
      <c r="A21" s="83" t="s">
        <v>998</v>
      </c>
      <c r="B21" s="83" t="s">
        <v>351</v>
      </c>
      <c r="C21" s="83">
        <v>50</v>
      </c>
      <c r="D21" s="83" t="s">
        <v>21</v>
      </c>
      <c r="E21" s="83" t="s">
        <v>931</v>
      </c>
      <c r="F21" s="83" t="s">
        <v>999</v>
      </c>
      <c r="G21" s="83" t="s">
        <v>325</v>
      </c>
      <c r="H21" s="83">
        <v>255</v>
      </c>
      <c r="I21" s="83" t="s">
        <v>74</v>
      </c>
      <c r="J21" s="83"/>
      <c r="K21" s="83"/>
      <c r="L21" s="83"/>
      <c r="M21" s="83" t="s">
        <v>327</v>
      </c>
      <c r="N21" s="46"/>
      <c r="O21" s="7"/>
      <c r="P21" s="46">
        <v>19</v>
      </c>
      <c r="Q21" s="76" t="s">
        <v>1000</v>
      </c>
      <c r="R21" s="76" t="s">
        <v>1001</v>
      </c>
    </row>
    <row r="22" spans="1:18" ht="14.45">
      <c r="A22" s="83" t="s">
        <v>1002</v>
      </c>
      <c r="B22" s="83" t="s">
        <v>351</v>
      </c>
      <c r="C22" s="83">
        <v>50</v>
      </c>
      <c r="D22" s="83" t="s">
        <v>21</v>
      </c>
      <c r="E22" s="83" t="s">
        <v>931</v>
      </c>
      <c r="F22" s="83" t="s">
        <v>1003</v>
      </c>
      <c r="G22" s="83" t="s">
        <v>325</v>
      </c>
      <c r="H22" s="83">
        <v>255</v>
      </c>
      <c r="I22" s="83" t="s">
        <v>74</v>
      </c>
      <c r="J22" s="83"/>
      <c r="K22" s="83"/>
      <c r="L22" s="83"/>
      <c r="M22" s="83" t="s">
        <v>327</v>
      </c>
      <c r="N22" s="46"/>
      <c r="O22" s="7"/>
      <c r="P22" s="46">
        <v>20</v>
      </c>
      <c r="Q22" s="76" t="s">
        <v>1004</v>
      </c>
      <c r="R22" s="76" t="s">
        <v>1005</v>
      </c>
    </row>
    <row r="23" spans="1:18" ht="14.45">
      <c r="A23" s="83" t="s">
        <v>1006</v>
      </c>
      <c r="B23" s="83" t="s">
        <v>351</v>
      </c>
      <c r="C23" s="83">
        <v>50</v>
      </c>
      <c r="D23" s="83" t="s">
        <v>21</v>
      </c>
      <c r="E23" s="83" t="s">
        <v>931</v>
      </c>
      <c r="F23" s="83" t="s">
        <v>1007</v>
      </c>
      <c r="G23" s="83" t="s">
        <v>325</v>
      </c>
      <c r="H23" s="83">
        <v>255</v>
      </c>
      <c r="I23" s="83" t="s">
        <v>74</v>
      </c>
      <c r="J23" s="83"/>
      <c r="K23" s="83"/>
      <c r="L23" s="83"/>
      <c r="M23" s="83" t="s">
        <v>327</v>
      </c>
      <c r="N23" s="46"/>
      <c r="O23" s="7"/>
      <c r="P23" s="46">
        <v>21</v>
      </c>
      <c r="Q23" s="76" t="s">
        <v>1008</v>
      </c>
      <c r="R23" s="76" t="s">
        <v>1009</v>
      </c>
    </row>
    <row r="24" spans="1:18" ht="14.45">
      <c r="A24" s="83" t="s">
        <v>1010</v>
      </c>
      <c r="B24" s="83" t="s">
        <v>351</v>
      </c>
      <c r="C24" s="83">
        <v>250</v>
      </c>
      <c r="D24" s="83" t="s">
        <v>21</v>
      </c>
      <c r="E24" s="83" t="s">
        <v>931</v>
      </c>
      <c r="F24" s="83" t="s">
        <v>1011</v>
      </c>
      <c r="G24" s="83" t="s">
        <v>325</v>
      </c>
      <c r="H24" s="83">
        <v>255</v>
      </c>
      <c r="I24" s="83" t="s">
        <v>74</v>
      </c>
      <c r="J24" s="83"/>
      <c r="K24" s="83"/>
      <c r="L24" s="83"/>
      <c r="M24" s="83" t="s">
        <v>327</v>
      </c>
      <c r="N24" s="46"/>
      <c r="O24" s="7"/>
      <c r="P24" s="46">
        <v>22</v>
      </c>
      <c r="Q24" s="76" t="s">
        <v>1012</v>
      </c>
      <c r="R24" s="76" t="s">
        <v>1013</v>
      </c>
    </row>
    <row r="25" spans="1:18" ht="14.45">
      <c r="A25" s="7" t="s">
        <v>345</v>
      </c>
      <c r="B25" s="7" t="s">
        <v>346</v>
      </c>
      <c r="C25" s="7"/>
      <c r="D25" s="7" t="s">
        <v>21</v>
      </c>
      <c r="E25" s="7" t="s">
        <v>931</v>
      </c>
      <c r="F25" s="7" t="s">
        <v>347</v>
      </c>
      <c r="G25" s="7" t="s">
        <v>346</v>
      </c>
      <c r="H25" s="7"/>
      <c r="I25" s="7" t="s">
        <v>98</v>
      </c>
      <c r="J25" s="7"/>
      <c r="K25" s="7"/>
      <c r="L25" s="7"/>
      <c r="M25" s="7" t="b">
        <v>0</v>
      </c>
      <c r="N25" s="46"/>
      <c r="O25" s="7"/>
      <c r="P25" s="46">
        <v>23</v>
      </c>
      <c r="Q25" s="76" t="s">
        <v>1014</v>
      </c>
      <c r="R25" s="76" t="s">
        <v>1015</v>
      </c>
    </row>
    <row r="26" spans="1:18" ht="14.45">
      <c r="A26" s="8" t="s">
        <v>350</v>
      </c>
      <c r="B26" s="8" t="s">
        <v>351</v>
      </c>
      <c r="C26" s="8">
        <v>100</v>
      </c>
      <c r="D26" s="8" t="s">
        <v>320</v>
      </c>
      <c r="E26" s="8"/>
      <c r="F26" s="8"/>
      <c r="G26" s="8"/>
      <c r="H26" s="8"/>
      <c r="I26" s="8"/>
      <c r="J26" s="8"/>
      <c r="K26" s="8"/>
      <c r="L26" s="8"/>
      <c r="M26" s="8" t="s">
        <v>327</v>
      </c>
      <c r="N26" s="46"/>
      <c r="O26" s="7"/>
      <c r="P26" s="46">
        <v>24</v>
      </c>
      <c r="Q26" s="76" t="s">
        <v>1016</v>
      </c>
      <c r="R26" s="76" t="s">
        <v>1017</v>
      </c>
    </row>
    <row r="27" spans="1:18" ht="14.45">
      <c r="A27" s="8" t="s">
        <v>354</v>
      </c>
      <c r="B27" s="8" t="s">
        <v>351</v>
      </c>
      <c r="C27" s="8">
        <v>100</v>
      </c>
      <c r="D27" s="8" t="s">
        <v>320</v>
      </c>
      <c r="E27" s="8"/>
      <c r="F27" s="8"/>
      <c r="G27" s="8"/>
      <c r="H27" s="8"/>
      <c r="I27" s="8"/>
      <c r="J27" s="8"/>
      <c r="K27" s="8"/>
      <c r="L27" s="8"/>
      <c r="M27" s="8" t="s">
        <v>327</v>
      </c>
      <c r="N27" s="46"/>
      <c r="O27" s="7"/>
      <c r="P27" s="46">
        <v>25</v>
      </c>
      <c r="Q27" s="76" t="s">
        <v>1018</v>
      </c>
      <c r="R27" s="76" t="s">
        <v>1019</v>
      </c>
    </row>
    <row r="28" spans="1:18" ht="14.45">
      <c r="A28" s="8" t="s">
        <v>357</v>
      </c>
      <c r="B28" s="8" t="s">
        <v>351</v>
      </c>
      <c r="C28" s="8">
        <v>100</v>
      </c>
      <c r="D28" s="8" t="s">
        <v>320</v>
      </c>
      <c r="E28" s="8"/>
      <c r="F28" s="8"/>
      <c r="G28" s="8"/>
      <c r="H28" s="8"/>
      <c r="I28" s="8"/>
      <c r="J28" s="8"/>
      <c r="K28" s="8"/>
      <c r="L28" s="8"/>
      <c r="M28" s="8" t="s">
        <v>327</v>
      </c>
      <c r="N28" s="46"/>
      <c r="O28" s="7"/>
      <c r="P28" s="46">
        <v>26</v>
      </c>
      <c r="Q28" s="76" t="s">
        <v>1020</v>
      </c>
      <c r="R28" s="76" t="s">
        <v>1021</v>
      </c>
    </row>
    <row r="29" spans="1:18" ht="14.45">
      <c r="A29" s="8" t="s">
        <v>360</v>
      </c>
      <c r="B29" s="8" t="s">
        <v>351</v>
      </c>
      <c r="C29" s="8">
        <v>100</v>
      </c>
      <c r="D29" s="8" t="s">
        <v>320</v>
      </c>
      <c r="E29" s="8"/>
      <c r="F29" s="8"/>
      <c r="G29" s="8"/>
      <c r="H29" s="8"/>
      <c r="I29" s="8"/>
      <c r="J29" s="8"/>
      <c r="K29" s="8"/>
      <c r="L29" s="8"/>
      <c r="M29" s="8" t="s">
        <v>327</v>
      </c>
      <c r="N29" s="46"/>
      <c r="O29" s="7"/>
      <c r="P29" s="46">
        <v>27</v>
      </c>
      <c r="Q29" s="76" t="s">
        <v>1022</v>
      </c>
      <c r="R29" s="76" t="s">
        <v>1023</v>
      </c>
    </row>
    <row r="30" spans="1:18" ht="14.45">
      <c r="A30" s="8" t="s">
        <v>363</v>
      </c>
      <c r="B30" s="8" t="s">
        <v>351</v>
      </c>
      <c r="C30" s="8">
        <v>100</v>
      </c>
      <c r="D30" s="8" t="s">
        <v>320</v>
      </c>
      <c r="E30" s="8"/>
      <c r="F30" s="8"/>
      <c r="G30" s="8"/>
      <c r="H30" s="8"/>
      <c r="I30" s="8"/>
      <c r="J30" s="8"/>
      <c r="K30" s="8"/>
      <c r="L30" s="8"/>
      <c r="M30" s="8" t="s">
        <v>327</v>
      </c>
      <c r="N30" s="46"/>
      <c r="O30" s="7"/>
      <c r="P30" s="46">
        <v>28</v>
      </c>
      <c r="Q30" s="76" t="s">
        <v>1024</v>
      </c>
      <c r="R30" s="76" t="s">
        <v>1025</v>
      </c>
    </row>
    <row r="31" spans="1:18" ht="14.45">
      <c r="A31" s="8" t="s">
        <v>366</v>
      </c>
      <c r="B31" s="8" t="s">
        <v>367</v>
      </c>
      <c r="C31" s="8"/>
      <c r="D31" s="8" t="s">
        <v>320</v>
      </c>
      <c r="E31" s="8"/>
      <c r="F31" s="8"/>
      <c r="G31" s="8"/>
      <c r="H31" s="8"/>
      <c r="I31" s="8"/>
      <c r="J31" s="8"/>
      <c r="K31" s="8"/>
      <c r="L31" s="8"/>
      <c r="M31" s="8" t="s">
        <v>368</v>
      </c>
      <c r="N31" s="46"/>
      <c r="O31" s="7"/>
      <c r="P31" s="46">
        <v>29</v>
      </c>
      <c r="Q31" s="76" t="s">
        <v>1026</v>
      </c>
      <c r="R31" s="76" t="s">
        <v>1027</v>
      </c>
    </row>
    <row r="32" spans="1:18" ht="14.45">
      <c r="A32" s="8" t="s">
        <v>371</v>
      </c>
      <c r="B32" s="8" t="s">
        <v>367</v>
      </c>
      <c r="C32" s="8"/>
      <c r="D32" s="8" t="s">
        <v>320</v>
      </c>
      <c r="E32" s="8"/>
      <c r="F32" s="8"/>
      <c r="G32" s="8"/>
      <c r="H32" s="8"/>
      <c r="I32" s="8"/>
      <c r="J32" s="8"/>
      <c r="K32" s="8"/>
      <c r="L32" s="8"/>
      <c r="M32" s="8" t="s">
        <v>368</v>
      </c>
      <c r="N32" s="46"/>
      <c r="O32" s="7"/>
      <c r="P32" s="46">
        <v>30</v>
      </c>
      <c r="Q32" s="76" t="s">
        <v>1028</v>
      </c>
      <c r="R32" s="76" t="s">
        <v>1029</v>
      </c>
    </row>
    <row r="33" spans="1:18" ht="14.45">
      <c r="A33" s="8" t="s">
        <v>374</v>
      </c>
      <c r="B33" s="8" t="s">
        <v>351</v>
      </c>
      <c r="C33" s="8">
        <v>100</v>
      </c>
      <c r="D33" s="8" t="s">
        <v>320</v>
      </c>
      <c r="E33" s="8"/>
      <c r="F33" s="8"/>
      <c r="G33" s="8"/>
      <c r="H33" s="8"/>
      <c r="I33" s="8"/>
      <c r="J33" s="8"/>
      <c r="K33" s="8"/>
      <c r="L33" s="8"/>
      <c r="M33" s="8" t="s">
        <v>327</v>
      </c>
      <c r="N33" s="46"/>
      <c r="O33" s="7"/>
      <c r="P33" s="46">
        <v>31</v>
      </c>
      <c r="Q33" s="76" t="s">
        <v>1030</v>
      </c>
      <c r="R33" s="76" t="s">
        <v>1031</v>
      </c>
    </row>
    <row r="36" spans="1:18" ht="14.45">
      <c r="A36" s="75" t="s">
        <v>1032</v>
      </c>
      <c r="B36" s="75"/>
      <c r="C36" s="75"/>
    </row>
    <row r="37" spans="1:18" ht="14.45">
      <c r="A37" s="89" t="s">
        <v>1033</v>
      </c>
      <c r="B37" s="89"/>
      <c r="C37" s="89"/>
    </row>
    <row r="38" spans="1:18" ht="14.45">
      <c r="A38" s="35" t="s">
        <v>1034</v>
      </c>
      <c r="B38" s="35"/>
      <c r="C38" s="35"/>
    </row>
    <row r="41" spans="1:18" ht="14.45">
      <c r="A41" s="21"/>
      <c r="B41" s="21"/>
      <c r="C41" s="21"/>
    </row>
    <row r="42" spans="1:18" ht="14.45"/>
    <row r="43" spans="1:18" ht="14.45"/>
  </sheetData>
  <conditionalFormatting sqref="Q3:Q6">
    <cfRule type="duplicateValues" dxfId="238" priority="6"/>
  </conditionalFormatting>
  <conditionalFormatting sqref="Q8">
    <cfRule type="duplicateValues" dxfId="237" priority="5"/>
  </conditionalFormatting>
  <conditionalFormatting sqref="Q10:Q11">
    <cfRule type="duplicateValues" dxfId="236" priority="4"/>
  </conditionalFormatting>
  <conditionalFormatting sqref="Q13:Q18">
    <cfRule type="duplicateValues" dxfId="235" priority="3"/>
  </conditionalFormatting>
  <conditionalFormatting sqref="Q21:Q22">
    <cfRule type="duplicateValues" dxfId="234" priority="2"/>
  </conditionalFormatting>
  <conditionalFormatting sqref="Q3:Q33">
    <cfRule type="duplicateValues" dxfId="233" priority="1"/>
  </conditionalFormatting>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ED3C3-EC97-4A23-BE1A-0D8596399A04}">
  <sheetPr codeName="Sheet53">
    <tabColor rgb="FF92D050"/>
  </sheetPr>
  <dimension ref="A1:R22"/>
  <sheetViews>
    <sheetView workbookViewId="0">
      <selection activeCell="G9" sqref="G9:I16"/>
    </sheetView>
  </sheetViews>
  <sheetFormatPr defaultRowHeight="15" customHeight="1"/>
  <cols>
    <col min="1" max="1" width="36.85546875" customWidth="1"/>
    <col min="2" max="2" width="17.5703125" customWidth="1"/>
    <col min="3" max="3" width="15.5703125" customWidth="1"/>
    <col min="4" max="4" width="20.7109375" customWidth="1"/>
    <col min="5" max="5" width="31.5703125" customWidth="1"/>
    <col min="6" max="6" width="20.7109375" customWidth="1"/>
    <col min="7" max="9" width="15.7109375" customWidth="1"/>
    <col min="10" max="13" width="20.7109375" customWidth="1"/>
    <col min="14" max="14" width="14.85546875" bestFit="1" customWidth="1"/>
    <col min="15" max="15" width="39.28515625" customWidth="1"/>
    <col min="16" max="16" width="17.28515625" bestFit="1" customWidth="1"/>
    <col min="17" max="17" width="38.28515625" bestFit="1" customWidth="1"/>
    <col min="18" max="18" width="52.7109375" bestFit="1" customWidth="1"/>
  </cols>
  <sheetData>
    <row r="1" spans="1:18" ht="60" customHeight="1">
      <c r="A1" s="1" t="s">
        <v>1035</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1036</v>
      </c>
      <c r="B3" s="6" t="s">
        <v>319</v>
      </c>
      <c r="C3" s="6"/>
      <c r="D3" s="6" t="s">
        <v>320</v>
      </c>
      <c r="E3" s="6"/>
      <c r="F3" s="6"/>
      <c r="G3" s="6"/>
      <c r="H3" s="6"/>
      <c r="I3" s="6" t="s">
        <v>98</v>
      </c>
      <c r="J3" s="6"/>
      <c r="K3" s="6"/>
      <c r="L3" s="6"/>
      <c r="M3" s="6">
        <v>-1</v>
      </c>
      <c r="N3" s="46"/>
      <c r="O3" s="7"/>
      <c r="P3" s="46">
        <v>1</v>
      </c>
      <c r="Q3" s="76" t="s">
        <v>1037</v>
      </c>
      <c r="R3" s="76" t="s">
        <v>1038</v>
      </c>
    </row>
    <row r="4" spans="1:18" ht="14.45">
      <c r="A4" s="9" t="s">
        <v>1039</v>
      </c>
      <c r="B4" s="9" t="s">
        <v>351</v>
      </c>
      <c r="C4" s="9">
        <v>10</v>
      </c>
      <c r="D4" s="9" t="s">
        <v>21</v>
      </c>
      <c r="E4" s="9" t="s">
        <v>1040</v>
      </c>
      <c r="F4" s="9" t="s">
        <v>1041</v>
      </c>
      <c r="G4" s="9" t="s">
        <v>325</v>
      </c>
      <c r="H4" s="9">
        <v>255</v>
      </c>
      <c r="I4" s="9" t="s">
        <v>98</v>
      </c>
      <c r="J4" s="9"/>
      <c r="K4" s="9"/>
      <c r="L4" s="9"/>
      <c r="M4" s="9" t="s">
        <v>327</v>
      </c>
      <c r="N4" s="46"/>
      <c r="O4" s="7"/>
      <c r="P4" s="46">
        <v>2</v>
      </c>
      <c r="Q4" s="76" t="s">
        <v>1042</v>
      </c>
      <c r="R4" s="76" t="s">
        <v>1043</v>
      </c>
    </row>
    <row r="5" spans="1:18" ht="14.45">
      <c r="A5" s="7" t="s">
        <v>1044</v>
      </c>
      <c r="B5" s="7" t="s">
        <v>351</v>
      </c>
      <c r="C5" s="7">
        <v>10</v>
      </c>
      <c r="D5" s="7" t="s">
        <v>21</v>
      </c>
      <c r="E5" s="7" t="s">
        <v>1040</v>
      </c>
      <c r="F5" s="7" t="s">
        <v>1045</v>
      </c>
      <c r="G5" s="7" t="s">
        <v>325</v>
      </c>
      <c r="H5" s="7">
        <v>255</v>
      </c>
      <c r="I5" s="7" t="s">
        <v>74</v>
      </c>
      <c r="J5" s="7"/>
      <c r="K5" s="7"/>
      <c r="L5" s="7"/>
      <c r="M5" s="7" t="s">
        <v>327</v>
      </c>
      <c r="N5" s="46"/>
      <c r="O5" s="7"/>
      <c r="P5" s="46">
        <v>3</v>
      </c>
      <c r="Q5" s="96" t="s">
        <v>1046</v>
      </c>
      <c r="R5" s="76" t="s">
        <v>1047</v>
      </c>
    </row>
    <row r="6" spans="1:18" ht="14.45">
      <c r="A6" s="7" t="s">
        <v>1048</v>
      </c>
      <c r="B6" s="7" t="s">
        <v>351</v>
      </c>
      <c r="C6" s="7">
        <v>255</v>
      </c>
      <c r="D6" s="7" t="s">
        <v>21</v>
      </c>
      <c r="E6" s="7" t="s">
        <v>1040</v>
      </c>
      <c r="F6" s="7" t="s">
        <v>3</v>
      </c>
      <c r="G6" s="7" t="s">
        <v>325</v>
      </c>
      <c r="H6" s="7">
        <v>255</v>
      </c>
      <c r="I6" s="7" t="s">
        <v>74</v>
      </c>
      <c r="J6" s="7"/>
      <c r="K6" s="7"/>
      <c r="L6" s="7"/>
      <c r="M6" s="7" t="s">
        <v>327</v>
      </c>
      <c r="N6" s="46"/>
      <c r="O6" s="7"/>
      <c r="P6" s="46">
        <v>4</v>
      </c>
      <c r="Q6" s="76" t="s">
        <v>1049</v>
      </c>
      <c r="R6" s="76" t="s">
        <v>1050</v>
      </c>
    </row>
    <row r="7" spans="1:18" ht="14.45">
      <c r="A7" s="7" t="s">
        <v>1051</v>
      </c>
      <c r="B7" s="7" t="s">
        <v>351</v>
      </c>
      <c r="C7" s="7">
        <v>50</v>
      </c>
      <c r="D7" s="7" t="s">
        <v>21</v>
      </c>
      <c r="E7" s="7" t="s">
        <v>1040</v>
      </c>
      <c r="F7" s="7" t="s">
        <v>84</v>
      </c>
      <c r="G7" s="7" t="s">
        <v>325</v>
      </c>
      <c r="H7" s="7">
        <v>255</v>
      </c>
      <c r="I7" s="7" t="s">
        <v>74</v>
      </c>
      <c r="J7" s="7"/>
      <c r="K7" s="7"/>
      <c r="L7" s="7"/>
      <c r="M7" s="7" t="s">
        <v>327</v>
      </c>
      <c r="N7" s="46"/>
      <c r="O7" s="7"/>
      <c r="P7" s="46">
        <v>5</v>
      </c>
      <c r="Q7" s="76" t="s">
        <v>1052</v>
      </c>
      <c r="R7" s="76" t="s">
        <v>1053</v>
      </c>
    </row>
    <row r="8" spans="1:18" ht="14.45">
      <c r="A8" s="7" t="s">
        <v>345</v>
      </c>
      <c r="B8" s="7" t="s">
        <v>346</v>
      </c>
      <c r="C8" s="7"/>
      <c r="D8" s="7" t="s">
        <v>21</v>
      </c>
      <c r="E8" s="7" t="s">
        <v>1040</v>
      </c>
      <c r="F8" s="7" t="s">
        <v>347</v>
      </c>
      <c r="G8" s="7" t="s">
        <v>346</v>
      </c>
      <c r="H8" s="7"/>
      <c r="I8" s="7" t="s">
        <v>98</v>
      </c>
      <c r="J8" s="7"/>
      <c r="K8" s="7"/>
      <c r="L8" s="7"/>
      <c r="M8" s="7" t="b">
        <v>0</v>
      </c>
      <c r="N8" s="46"/>
      <c r="O8" s="7"/>
      <c r="P8" s="46">
        <v>6</v>
      </c>
      <c r="Q8" s="76" t="s">
        <v>1054</v>
      </c>
      <c r="R8" s="76" t="s">
        <v>1055</v>
      </c>
    </row>
    <row r="9" spans="1:18" ht="14.45">
      <c r="A9" s="8" t="s">
        <v>350</v>
      </c>
      <c r="B9" s="8" t="s">
        <v>351</v>
      </c>
      <c r="C9" s="8">
        <v>100</v>
      </c>
      <c r="D9" s="8" t="s">
        <v>320</v>
      </c>
      <c r="E9" s="8"/>
      <c r="F9" s="8"/>
      <c r="G9" s="8"/>
      <c r="H9" s="8"/>
      <c r="I9" s="8"/>
      <c r="J9" s="8"/>
      <c r="K9" s="8"/>
      <c r="L9" s="8"/>
      <c r="M9" s="8" t="s">
        <v>327</v>
      </c>
      <c r="N9" s="46"/>
      <c r="O9" s="7"/>
      <c r="P9" s="46">
        <v>7</v>
      </c>
      <c r="Q9" s="76" t="s">
        <v>1056</v>
      </c>
      <c r="R9" s="76" t="s">
        <v>1057</v>
      </c>
    </row>
    <row r="10" spans="1:18" ht="14.45">
      <c r="A10" s="8" t="s">
        <v>354</v>
      </c>
      <c r="B10" s="8" t="s">
        <v>351</v>
      </c>
      <c r="C10" s="8">
        <v>100</v>
      </c>
      <c r="D10" s="8" t="s">
        <v>320</v>
      </c>
      <c r="E10" s="8"/>
      <c r="F10" s="8"/>
      <c r="G10" s="8"/>
      <c r="H10" s="8"/>
      <c r="I10" s="8"/>
      <c r="J10" s="8"/>
      <c r="K10" s="8"/>
      <c r="L10" s="8"/>
      <c r="M10" s="8" t="s">
        <v>327</v>
      </c>
      <c r="N10" s="46"/>
      <c r="O10" s="7"/>
      <c r="P10" s="46">
        <v>8</v>
      </c>
      <c r="Q10" s="76" t="s">
        <v>1058</v>
      </c>
      <c r="R10" s="76" t="s">
        <v>1059</v>
      </c>
    </row>
    <row r="11" spans="1:18" ht="14.45">
      <c r="A11" s="8" t="s">
        <v>357</v>
      </c>
      <c r="B11" s="8" t="s">
        <v>351</v>
      </c>
      <c r="C11" s="8">
        <v>100</v>
      </c>
      <c r="D11" s="8" t="s">
        <v>320</v>
      </c>
      <c r="E11" s="8"/>
      <c r="F11" s="8"/>
      <c r="G11" s="8"/>
      <c r="H11" s="8"/>
      <c r="I11" s="8"/>
      <c r="J11" s="8"/>
      <c r="K11" s="8"/>
      <c r="L11" s="8"/>
      <c r="M11" s="8" t="s">
        <v>327</v>
      </c>
      <c r="N11" s="46"/>
      <c r="O11" s="7"/>
      <c r="P11" s="46">
        <v>9</v>
      </c>
      <c r="Q11" s="76" t="s">
        <v>1060</v>
      </c>
      <c r="R11" s="76" t="s">
        <v>1061</v>
      </c>
    </row>
    <row r="12" spans="1:18" ht="14.45">
      <c r="A12" s="8" t="s">
        <v>360</v>
      </c>
      <c r="B12" s="8" t="s">
        <v>351</v>
      </c>
      <c r="C12" s="8">
        <v>100</v>
      </c>
      <c r="D12" s="8" t="s">
        <v>320</v>
      </c>
      <c r="E12" s="8"/>
      <c r="F12" s="8"/>
      <c r="G12" s="8"/>
      <c r="H12" s="8"/>
      <c r="I12" s="8"/>
      <c r="J12" s="8"/>
      <c r="K12" s="8"/>
      <c r="L12" s="8"/>
      <c r="M12" s="8" t="s">
        <v>327</v>
      </c>
      <c r="N12" s="46"/>
      <c r="O12" s="7"/>
      <c r="P12" s="46">
        <v>10</v>
      </c>
      <c r="Q12" s="76" t="s">
        <v>1062</v>
      </c>
      <c r="R12" s="76" t="s">
        <v>1063</v>
      </c>
    </row>
    <row r="13" spans="1:18" ht="14.45">
      <c r="A13" s="8" t="s">
        <v>363</v>
      </c>
      <c r="B13" s="8" t="s">
        <v>351</v>
      </c>
      <c r="C13" s="8">
        <v>100</v>
      </c>
      <c r="D13" s="8" t="s">
        <v>320</v>
      </c>
      <c r="E13" s="8"/>
      <c r="F13" s="8"/>
      <c r="G13" s="8"/>
      <c r="H13" s="8"/>
      <c r="I13" s="8"/>
      <c r="J13" s="8"/>
      <c r="K13" s="8"/>
      <c r="L13" s="8"/>
      <c r="M13" s="8" t="s">
        <v>327</v>
      </c>
      <c r="N13" s="46"/>
      <c r="O13" s="7"/>
      <c r="P13" s="46">
        <v>11</v>
      </c>
      <c r="Q13" s="76" t="s">
        <v>1064</v>
      </c>
      <c r="R13" s="76" t="s">
        <v>1065</v>
      </c>
    </row>
    <row r="14" spans="1:18" ht="14.45">
      <c r="A14" s="8" t="s">
        <v>366</v>
      </c>
      <c r="B14" s="8" t="s">
        <v>367</v>
      </c>
      <c r="C14" s="8"/>
      <c r="D14" s="8" t="s">
        <v>320</v>
      </c>
      <c r="E14" s="8"/>
      <c r="F14" s="8"/>
      <c r="G14" s="8"/>
      <c r="H14" s="8"/>
      <c r="I14" s="8"/>
      <c r="J14" s="8"/>
      <c r="K14" s="8"/>
      <c r="L14" s="8"/>
      <c r="M14" s="8" t="s">
        <v>368</v>
      </c>
      <c r="N14" s="46"/>
      <c r="O14" s="7"/>
      <c r="P14" s="46">
        <v>12</v>
      </c>
      <c r="Q14" s="76" t="s">
        <v>1066</v>
      </c>
      <c r="R14" s="76" t="s">
        <v>1067</v>
      </c>
    </row>
    <row r="15" spans="1:18" ht="14.45">
      <c r="A15" s="8" t="s">
        <v>371</v>
      </c>
      <c r="B15" s="8" t="s">
        <v>367</v>
      </c>
      <c r="C15" s="8"/>
      <c r="D15" s="8" t="s">
        <v>320</v>
      </c>
      <c r="E15" s="8"/>
      <c r="F15" s="8"/>
      <c r="G15" s="8"/>
      <c r="H15" s="8"/>
      <c r="I15" s="8"/>
      <c r="J15" s="8"/>
      <c r="K15" s="8"/>
      <c r="L15" s="8"/>
      <c r="M15" s="8" t="s">
        <v>368</v>
      </c>
      <c r="N15" s="46"/>
      <c r="O15" s="7"/>
      <c r="P15" s="46">
        <v>13</v>
      </c>
      <c r="Q15" s="76" t="s">
        <v>1068</v>
      </c>
      <c r="R15" s="76" t="s">
        <v>1069</v>
      </c>
    </row>
    <row r="16" spans="1:18" ht="14.45">
      <c r="A16" s="8" t="s">
        <v>374</v>
      </c>
      <c r="B16" s="8" t="s">
        <v>351</v>
      </c>
      <c r="C16" s="8">
        <v>100</v>
      </c>
      <c r="D16" s="8" t="s">
        <v>320</v>
      </c>
      <c r="E16" s="8"/>
      <c r="F16" s="8"/>
      <c r="G16" s="8"/>
      <c r="H16" s="8"/>
      <c r="I16" s="8"/>
      <c r="J16" s="8"/>
      <c r="K16" s="8"/>
      <c r="L16" s="8"/>
      <c r="M16" s="8" t="s">
        <v>327</v>
      </c>
      <c r="N16" s="46"/>
      <c r="O16" s="7"/>
      <c r="P16" s="46">
        <v>14</v>
      </c>
      <c r="Q16" t="s">
        <v>1070</v>
      </c>
      <c r="R16" s="76" t="s">
        <v>1071</v>
      </c>
    </row>
    <row r="21" spans="1:3" ht="14.45">
      <c r="A21" s="21"/>
      <c r="B21" s="21"/>
      <c r="C21" s="21"/>
    </row>
    <row r="22" spans="1:3" ht="14.45">
      <c r="A22" s="35"/>
      <c r="B22" s="35"/>
      <c r="C22" s="35"/>
    </row>
  </sheetData>
  <conditionalFormatting sqref="Q3:Q5">
    <cfRule type="duplicateValues" dxfId="232" priority="3"/>
  </conditionalFormatting>
  <conditionalFormatting sqref="Q16">
    <cfRule type="duplicateValues" dxfId="231" priority="2"/>
  </conditionalFormatting>
  <conditionalFormatting sqref="Q3:Q16">
    <cfRule type="duplicateValues" dxfId="230" priority="1"/>
  </conditionalFormatting>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8">
    <tabColor rgb="FF92D050"/>
  </sheetPr>
  <dimension ref="A1:R20"/>
  <sheetViews>
    <sheetView workbookViewId="0">
      <selection activeCell="H12" sqref="H12"/>
    </sheetView>
  </sheetViews>
  <sheetFormatPr defaultRowHeight="15" customHeight="1"/>
  <cols>
    <col min="1" max="1" width="31.42578125" customWidth="1"/>
    <col min="2" max="2" width="18.140625" customWidth="1"/>
    <col min="3" max="3" width="18.28515625" customWidth="1"/>
    <col min="4" max="4" width="20.7109375" customWidth="1"/>
    <col min="5" max="5" width="24.85546875" customWidth="1"/>
    <col min="6" max="6" width="26.570312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37.7109375" bestFit="1" customWidth="1"/>
  </cols>
  <sheetData>
    <row r="1" spans="1:18" ht="60" customHeight="1">
      <c r="A1" s="1" t="s">
        <v>270</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1072</v>
      </c>
      <c r="B3" s="6" t="s">
        <v>319</v>
      </c>
      <c r="C3" s="6"/>
      <c r="D3" s="6" t="s">
        <v>320</v>
      </c>
      <c r="E3" s="6"/>
      <c r="F3" s="6"/>
      <c r="G3" s="6"/>
      <c r="H3" s="6"/>
      <c r="I3" s="6" t="s">
        <v>98</v>
      </c>
      <c r="J3" s="6" t="s">
        <v>321</v>
      </c>
      <c r="K3" s="6"/>
      <c r="L3" s="6"/>
      <c r="M3" s="6">
        <v>-1</v>
      </c>
      <c r="N3" s="46"/>
      <c r="O3" s="7"/>
      <c r="P3" s="46">
        <v>1</v>
      </c>
      <c r="Q3" t="s">
        <v>1073</v>
      </c>
      <c r="R3" t="s">
        <v>1074</v>
      </c>
    </row>
    <row r="4" spans="1:18" ht="14.45">
      <c r="A4" s="9" t="s">
        <v>1075</v>
      </c>
      <c r="B4" s="9" t="s">
        <v>351</v>
      </c>
      <c r="C4" s="9">
        <v>2</v>
      </c>
      <c r="D4" s="9" t="s">
        <v>21</v>
      </c>
      <c r="E4" s="9" t="s">
        <v>271</v>
      </c>
      <c r="F4" s="9" t="s">
        <v>1076</v>
      </c>
      <c r="G4" s="9" t="s">
        <v>325</v>
      </c>
      <c r="H4" s="9">
        <v>255</v>
      </c>
      <c r="I4" s="9" t="s">
        <v>98</v>
      </c>
      <c r="J4" s="9"/>
      <c r="K4" s="9"/>
      <c r="L4" s="9"/>
      <c r="M4" s="9" t="s">
        <v>327</v>
      </c>
      <c r="N4" s="46"/>
      <c r="O4" s="7"/>
      <c r="P4" s="46">
        <v>2</v>
      </c>
      <c r="Q4" t="s">
        <v>1077</v>
      </c>
      <c r="R4" t="s">
        <v>1078</v>
      </c>
    </row>
    <row r="5" spans="1:18" ht="14.45">
      <c r="A5" s="7" t="s">
        <v>1079</v>
      </c>
      <c r="B5" s="7" t="s">
        <v>351</v>
      </c>
      <c r="C5" s="7">
        <v>255</v>
      </c>
      <c r="D5" s="7" t="s">
        <v>21</v>
      </c>
      <c r="E5" s="7" t="s">
        <v>271</v>
      </c>
      <c r="F5" s="7" t="s">
        <v>3</v>
      </c>
      <c r="G5" s="7" t="s">
        <v>325</v>
      </c>
      <c r="H5" s="7">
        <v>255</v>
      </c>
      <c r="I5" s="7" t="s">
        <v>74</v>
      </c>
      <c r="J5" s="7"/>
      <c r="K5" s="7"/>
      <c r="L5" s="7"/>
      <c r="M5" s="7" t="s">
        <v>327</v>
      </c>
      <c r="N5" s="46"/>
      <c r="O5" s="7"/>
      <c r="P5" s="46">
        <v>3</v>
      </c>
      <c r="Q5" t="s">
        <v>1080</v>
      </c>
      <c r="R5" t="s">
        <v>1081</v>
      </c>
    </row>
    <row r="6" spans="1:18" ht="14.45">
      <c r="A6" s="7" t="s">
        <v>1082</v>
      </c>
      <c r="B6" s="7" t="s">
        <v>351</v>
      </c>
      <c r="C6" s="7">
        <v>255</v>
      </c>
      <c r="D6" s="7" t="s">
        <v>21</v>
      </c>
      <c r="E6" s="7" t="s">
        <v>271</v>
      </c>
      <c r="F6" s="7" t="s">
        <v>631</v>
      </c>
      <c r="G6" s="7" t="s">
        <v>325</v>
      </c>
      <c r="H6" s="7">
        <v>255</v>
      </c>
      <c r="I6" s="7" t="s">
        <v>74</v>
      </c>
      <c r="J6" s="7"/>
      <c r="K6" s="7"/>
      <c r="L6" s="7"/>
      <c r="M6" s="7" t="s">
        <v>327</v>
      </c>
      <c r="N6" s="46"/>
      <c r="O6" s="7"/>
      <c r="P6" s="46">
        <v>4</v>
      </c>
      <c r="Q6" t="s">
        <v>1083</v>
      </c>
      <c r="R6" t="s">
        <v>1084</v>
      </c>
    </row>
    <row r="7" spans="1:18" ht="14.45">
      <c r="A7" s="7" t="s">
        <v>345</v>
      </c>
      <c r="B7" s="7" t="s">
        <v>346</v>
      </c>
      <c r="C7" s="7"/>
      <c r="D7" s="7" t="s">
        <v>21</v>
      </c>
      <c r="E7" s="7" t="s">
        <v>271</v>
      </c>
      <c r="F7" s="7" t="s">
        <v>347</v>
      </c>
      <c r="G7" s="7" t="s">
        <v>346</v>
      </c>
      <c r="H7" s="7"/>
      <c r="I7" s="7" t="s">
        <v>98</v>
      </c>
      <c r="J7" s="7"/>
      <c r="K7" s="7"/>
      <c r="L7" s="7"/>
      <c r="M7" s="7" t="b">
        <v>0</v>
      </c>
      <c r="N7" s="46"/>
      <c r="O7" s="7"/>
      <c r="P7" s="46">
        <v>5</v>
      </c>
      <c r="Q7" t="s">
        <v>1085</v>
      </c>
      <c r="R7" t="s">
        <v>1086</v>
      </c>
    </row>
    <row r="8" spans="1:18" ht="14.45">
      <c r="A8" s="8" t="s">
        <v>350</v>
      </c>
      <c r="B8" s="8" t="s">
        <v>351</v>
      </c>
      <c r="C8" s="8">
        <v>100</v>
      </c>
      <c r="D8" s="8" t="s">
        <v>320</v>
      </c>
      <c r="E8" s="8"/>
      <c r="F8" s="8"/>
      <c r="G8" s="8"/>
      <c r="H8" s="8"/>
      <c r="I8" s="8"/>
      <c r="J8" s="8"/>
      <c r="K8" s="8"/>
      <c r="L8" s="8"/>
      <c r="M8" s="8" t="s">
        <v>327</v>
      </c>
      <c r="N8" s="46"/>
      <c r="O8" s="7"/>
      <c r="P8" s="46">
        <v>6</v>
      </c>
      <c r="Q8" t="s">
        <v>1087</v>
      </c>
      <c r="R8" t="s">
        <v>1088</v>
      </c>
    </row>
    <row r="9" spans="1:18" ht="14.45">
      <c r="A9" s="8" t="s">
        <v>354</v>
      </c>
      <c r="B9" s="8" t="s">
        <v>351</v>
      </c>
      <c r="C9" s="8">
        <v>100</v>
      </c>
      <c r="D9" s="8" t="s">
        <v>320</v>
      </c>
      <c r="E9" s="8"/>
      <c r="F9" s="8"/>
      <c r="G9" s="8"/>
      <c r="H9" s="8"/>
      <c r="I9" s="8"/>
      <c r="J9" s="8"/>
      <c r="K9" s="8"/>
      <c r="L9" s="8"/>
      <c r="M9" s="8" t="s">
        <v>327</v>
      </c>
      <c r="N9" s="46"/>
      <c r="O9" s="7"/>
      <c r="P9" s="46">
        <v>7</v>
      </c>
      <c r="Q9" t="s">
        <v>1089</v>
      </c>
      <c r="R9" t="s">
        <v>1090</v>
      </c>
    </row>
    <row r="10" spans="1:18" ht="14.45">
      <c r="A10" s="8" t="s">
        <v>357</v>
      </c>
      <c r="B10" s="8" t="s">
        <v>351</v>
      </c>
      <c r="C10" s="8">
        <v>100</v>
      </c>
      <c r="D10" s="8" t="s">
        <v>320</v>
      </c>
      <c r="E10" s="8"/>
      <c r="F10" s="8"/>
      <c r="G10" s="8"/>
      <c r="H10" s="8"/>
      <c r="I10" s="8"/>
      <c r="J10" s="8"/>
      <c r="K10" s="8"/>
      <c r="L10" s="8"/>
      <c r="M10" s="8" t="s">
        <v>327</v>
      </c>
      <c r="N10" s="46"/>
      <c r="O10" s="7"/>
      <c r="P10" s="46">
        <v>8</v>
      </c>
      <c r="Q10" t="s">
        <v>1091</v>
      </c>
      <c r="R10" t="s">
        <v>1092</v>
      </c>
    </row>
    <row r="11" spans="1:18" ht="14.45">
      <c r="A11" s="8" t="s">
        <v>360</v>
      </c>
      <c r="B11" s="8" t="s">
        <v>351</v>
      </c>
      <c r="C11" s="8">
        <v>100</v>
      </c>
      <c r="D11" s="8" t="s">
        <v>320</v>
      </c>
      <c r="E11" s="8"/>
      <c r="F11" s="8"/>
      <c r="G11" s="8"/>
      <c r="H11" s="8"/>
      <c r="I11" s="8"/>
      <c r="J11" s="8"/>
      <c r="K11" s="8"/>
      <c r="L11" s="8"/>
      <c r="M11" s="8" t="s">
        <v>327</v>
      </c>
      <c r="N11" s="46"/>
      <c r="O11" s="7"/>
      <c r="P11" s="46">
        <v>9</v>
      </c>
      <c r="Q11" t="s">
        <v>1093</v>
      </c>
      <c r="R11" t="s">
        <v>1094</v>
      </c>
    </row>
    <row r="12" spans="1:18" ht="14.45">
      <c r="A12" s="8" t="s">
        <v>363</v>
      </c>
      <c r="B12" s="8" t="s">
        <v>351</v>
      </c>
      <c r="C12" s="8">
        <v>100</v>
      </c>
      <c r="D12" s="8" t="s">
        <v>320</v>
      </c>
      <c r="E12" s="8"/>
      <c r="F12" s="8"/>
      <c r="G12" s="8"/>
      <c r="H12" s="8"/>
      <c r="I12" s="8"/>
      <c r="J12" s="8"/>
      <c r="K12" s="8"/>
      <c r="L12" s="8"/>
      <c r="M12" s="8" t="s">
        <v>327</v>
      </c>
      <c r="N12" s="46"/>
      <c r="O12" s="7"/>
      <c r="P12" s="46">
        <v>10</v>
      </c>
      <c r="Q12" t="s">
        <v>1095</v>
      </c>
      <c r="R12" t="s">
        <v>1096</v>
      </c>
    </row>
    <row r="13" spans="1:18" ht="14.45">
      <c r="A13" s="8" t="s">
        <v>366</v>
      </c>
      <c r="B13" s="8" t="s">
        <v>367</v>
      </c>
      <c r="C13" s="8"/>
      <c r="D13" s="8" t="s">
        <v>320</v>
      </c>
      <c r="E13" s="8"/>
      <c r="F13" s="8"/>
      <c r="G13" s="8"/>
      <c r="H13" s="8"/>
      <c r="I13" s="8"/>
      <c r="J13" s="8"/>
      <c r="K13" s="8"/>
      <c r="L13" s="8"/>
      <c r="M13" s="8" t="s">
        <v>368</v>
      </c>
      <c r="N13" s="46"/>
      <c r="O13" s="7"/>
      <c r="P13" s="46">
        <v>11</v>
      </c>
      <c r="Q13" t="s">
        <v>1097</v>
      </c>
      <c r="R13" t="s">
        <v>1098</v>
      </c>
    </row>
    <row r="14" spans="1:18" ht="14.45">
      <c r="A14" s="8" t="s">
        <v>371</v>
      </c>
      <c r="B14" s="8" t="s">
        <v>367</v>
      </c>
      <c r="C14" s="8"/>
      <c r="D14" s="8" t="s">
        <v>320</v>
      </c>
      <c r="E14" s="8"/>
      <c r="F14" s="8"/>
      <c r="G14" s="8"/>
      <c r="H14" s="8"/>
      <c r="I14" s="8"/>
      <c r="J14" s="8"/>
      <c r="K14" s="8"/>
      <c r="L14" s="8"/>
      <c r="M14" s="8" t="s">
        <v>368</v>
      </c>
      <c r="N14" s="46"/>
      <c r="O14" s="7"/>
      <c r="P14" s="46">
        <v>12</v>
      </c>
      <c r="Q14" t="s">
        <v>1099</v>
      </c>
      <c r="R14" t="s">
        <v>1100</v>
      </c>
    </row>
    <row r="15" spans="1:18" ht="14.45">
      <c r="A15" s="8" t="s">
        <v>374</v>
      </c>
      <c r="B15" s="8" t="s">
        <v>351</v>
      </c>
      <c r="C15" s="8">
        <v>100</v>
      </c>
      <c r="D15" s="8" t="s">
        <v>320</v>
      </c>
      <c r="E15" s="8"/>
      <c r="F15" s="8"/>
      <c r="G15" s="8"/>
      <c r="H15" s="8"/>
      <c r="I15" s="8"/>
      <c r="J15" s="8"/>
      <c r="K15" s="8"/>
      <c r="L15" s="8"/>
      <c r="M15" s="8" t="s">
        <v>327</v>
      </c>
      <c r="N15" s="46"/>
      <c r="O15" s="7"/>
      <c r="P15" s="46">
        <v>13</v>
      </c>
      <c r="Q15" t="s">
        <v>1101</v>
      </c>
      <c r="R15" t="s">
        <v>1102</v>
      </c>
    </row>
    <row r="19" spans="1:3" ht="14.45">
      <c r="A19" s="21"/>
      <c r="B19" s="21"/>
      <c r="C19" s="21"/>
    </row>
    <row r="20" spans="1:3" ht="14.45">
      <c r="A20" s="35"/>
      <c r="B20" s="35"/>
      <c r="C20" s="35"/>
    </row>
  </sheetData>
  <conditionalFormatting sqref="Q3:Q4">
    <cfRule type="duplicateValues" dxfId="229" priority="2"/>
  </conditionalFormatting>
  <conditionalFormatting sqref="Q3:Q15">
    <cfRule type="duplicateValues" dxfId="228"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2">
    <tabColor rgb="FF92D050"/>
  </sheetPr>
  <dimension ref="A1:R28"/>
  <sheetViews>
    <sheetView workbookViewId="0">
      <selection activeCell="J8" sqref="J8"/>
    </sheetView>
  </sheetViews>
  <sheetFormatPr defaultRowHeight="15" customHeight="1"/>
  <cols>
    <col min="1" max="1" width="32.140625" customWidth="1"/>
    <col min="2" max="2" width="17.42578125" customWidth="1"/>
    <col min="3" max="3" width="16.7109375" customWidth="1"/>
    <col min="4" max="6" width="20.7109375" customWidth="1"/>
    <col min="7" max="9" width="15.7109375" customWidth="1"/>
    <col min="10" max="10" width="29.5703125" customWidth="1"/>
    <col min="11" max="13" width="20.7109375" customWidth="1"/>
    <col min="14" max="14" width="15.7109375" bestFit="1" customWidth="1"/>
    <col min="15" max="15" width="39.28515625" customWidth="1"/>
    <col min="16" max="16" width="17.28515625" bestFit="1" customWidth="1"/>
    <col min="17" max="17" width="38.28515625" bestFit="1" customWidth="1"/>
    <col min="18" max="18" width="32.28515625" bestFit="1" customWidth="1"/>
  </cols>
  <sheetData>
    <row r="1" spans="1:18" ht="60" customHeight="1">
      <c r="A1" s="1" t="s">
        <v>281</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1103</v>
      </c>
      <c r="B3" s="6" t="s">
        <v>319</v>
      </c>
      <c r="C3" s="6"/>
      <c r="D3" s="6" t="s">
        <v>320</v>
      </c>
      <c r="E3" s="6"/>
      <c r="F3" s="6"/>
      <c r="G3" s="6" t="s">
        <v>319</v>
      </c>
      <c r="H3" s="6"/>
      <c r="I3" s="6" t="s">
        <v>98</v>
      </c>
      <c r="J3" s="6" t="s">
        <v>321</v>
      </c>
      <c r="K3" s="6"/>
      <c r="L3" s="6"/>
      <c r="M3" s="6">
        <v>-1</v>
      </c>
      <c r="N3" s="46"/>
      <c r="O3" s="7"/>
      <c r="P3" s="46">
        <v>1</v>
      </c>
      <c r="Q3" s="76" t="s">
        <v>1104</v>
      </c>
      <c r="R3" s="76" t="s">
        <v>1105</v>
      </c>
    </row>
    <row r="4" spans="1:18" ht="14.45">
      <c r="A4" s="9" t="s">
        <v>1106</v>
      </c>
      <c r="B4" s="9" t="s">
        <v>351</v>
      </c>
      <c r="C4" s="9">
        <v>50</v>
      </c>
      <c r="D4" s="9" t="s">
        <v>21</v>
      </c>
      <c r="E4" s="9" t="s">
        <v>1107</v>
      </c>
      <c r="F4" s="9" t="s">
        <v>1108</v>
      </c>
      <c r="G4" s="9" t="s">
        <v>325</v>
      </c>
      <c r="H4" s="9">
        <v>255</v>
      </c>
      <c r="I4" s="9" t="s">
        <v>98</v>
      </c>
      <c r="J4" s="9"/>
      <c r="K4" s="9"/>
      <c r="L4" s="9"/>
      <c r="M4" s="9" t="s">
        <v>327</v>
      </c>
      <c r="N4" s="46"/>
      <c r="O4" s="7"/>
      <c r="P4" s="46">
        <v>2</v>
      </c>
      <c r="Q4" s="76" t="s">
        <v>1109</v>
      </c>
      <c r="R4" s="76" t="s">
        <v>1110</v>
      </c>
    </row>
    <row r="5" spans="1:18" ht="14.45">
      <c r="A5" s="9" t="s">
        <v>487</v>
      </c>
      <c r="B5" s="9" t="s">
        <v>351</v>
      </c>
      <c r="C5" s="9">
        <v>5</v>
      </c>
      <c r="D5" s="9" t="s">
        <v>21</v>
      </c>
      <c r="E5" s="9" t="s">
        <v>1107</v>
      </c>
      <c r="F5" s="9" t="s">
        <v>488</v>
      </c>
      <c r="G5" s="9" t="s">
        <v>325</v>
      </c>
      <c r="H5" s="9">
        <v>255</v>
      </c>
      <c r="I5" s="9" t="s">
        <v>98</v>
      </c>
      <c r="J5" s="9"/>
      <c r="K5" s="9"/>
      <c r="L5" s="9"/>
      <c r="M5" s="9" t="s">
        <v>327</v>
      </c>
      <c r="N5" s="46"/>
      <c r="O5" s="7" t="s">
        <v>1111</v>
      </c>
      <c r="P5" s="46">
        <v>3</v>
      </c>
      <c r="Q5" s="76" t="s">
        <v>1112</v>
      </c>
      <c r="R5" s="76" t="s">
        <v>1113</v>
      </c>
    </row>
    <row r="6" spans="1:18" ht="17.25" customHeight="1">
      <c r="A6" s="83" t="s">
        <v>1114</v>
      </c>
      <c r="B6" s="83" t="s">
        <v>431</v>
      </c>
      <c r="C6" s="83"/>
      <c r="D6" s="83" t="s">
        <v>12</v>
      </c>
      <c r="E6" s="83" t="s">
        <v>278</v>
      </c>
      <c r="F6" s="83" t="s">
        <v>1115</v>
      </c>
      <c r="G6" s="83" t="s">
        <v>431</v>
      </c>
      <c r="H6" s="83"/>
      <c r="I6" s="83" t="s">
        <v>74</v>
      </c>
      <c r="J6" s="87" t="s">
        <v>1116</v>
      </c>
      <c r="K6" s="83"/>
      <c r="L6" s="83" t="s">
        <v>942</v>
      </c>
      <c r="M6" s="83">
        <v>-1</v>
      </c>
      <c r="N6" s="46"/>
      <c r="O6" s="7" t="s">
        <v>1117</v>
      </c>
      <c r="P6" s="46">
        <v>4</v>
      </c>
      <c r="Q6" s="76" t="s">
        <v>1118</v>
      </c>
      <c r="R6" s="76" t="s">
        <v>1119</v>
      </c>
    </row>
    <row r="7" spans="1:18" ht="14.45">
      <c r="A7" s="22" t="s">
        <v>1072</v>
      </c>
      <c r="B7" s="22" t="s">
        <v>319</v>
      </c>
      <c r="C7" s="22"/>
      <c r="D7" s="22" t="s">
        <v>66</v>
      </c>
      <c r="E7" s="22" t="s">
        <v>270</v>
      </c>
      <c r="F7" s="22" t="s">
        <v>1072</v>
      </c>
      <c r="G7" s="22" t="s">
        <v>319</v>
      </c>
      <c r="H7" s="22"/>
      <c r="I7" s="22" t="s">
        <v>74</v>
      </c>
      <c r="J7" s="22" t="s">
        <v>1120</v>
      </c>
      <c r="K7" s="22"/>
      <c r="L7" s="22"/>
      <c r="M7" s="22">
        <v>-1</v>
      </c>
      <c r="N7" s="46"/>
      <c r="O7" s="7"/>
      <c r="P7" s="46">
        <v>5</v>
      </c>
      <c r="Q7" s="76" t="s">
        <v>1121</v>
      </c>
      <c r="R7" s="76" t="s">
        <v>1122</v>
      </c>
    </row>
    <row r="8" spans="1:18" ht="14.45">
      <c r="A8" s="7" t="s">
        <v>1123</v>
      </c>
      <c r="B8" s="7" t="s">
        <v>351</v>
      </c>
      <c r="C8" s="7">
        <v>255</v>
      </c>
      <c r="D8" s="7" t="s">
        <v>21</v>
      </c>
      <c r="E8" s="7" t="s">
        <v>1107</v>
      </c>
      <c r="F8" s="7" t="s">
        <v>3</v>
      </c>
      <c r="G8" s="7" t="s">
        <v>325</v>
      </c>
      <c r="H8" s="7">
        <v>255</v>
      </c>
      <c r="I8" s="7" t="s">
        <v>74</v>
      </c>
      <c r="J8" s="7"/>
      <c r="K8" s="7"/>
      <c r="L8" s="7"/>
      <c r="M8" s="7" t="s">
        <v>327</v>
      </c>
      <c r="N8" s="46"/>
      <c r="O8" s="7"/>
      <c r="P8" s="46">
        <v>6</v>
      </c>
      <c r="Q8" s="76" t="s">
        <v>1124</v>
      </c>
      <c r="R8" s="76" t="s">
        <v>1125</v>
      </c>
    </row>
    <row r="9" spans="1:18" ht="14.45">
      <c r="A9" s="7" t="s">
        <v>345</v>
      </c>
      <c r="B9" s="7" t="s">
        <v>346</v>
      </c>
      <c r="C9" s="7"/>
      <c r="D9" s="7" t="s">
        <v>21</v>
      </c>
      <c r="E9" s="7" t="s">
        <v>1107</v>
      </c>
      <c r="F9" s="7" t="s">
        <v>347</v>
      </c>
      <c r="G9" s="7" t="s">
        <v>346</v>
      </c>
      <c r="H9" s="7"/>
      <c r="I9" s="7" t="s">
        <v>98</v>
      </c>
      <c r="J9" s="7"/>
      <c r="K9" s="7"/>
      <c r="L9" s="7"/>
      <c r="M9" s="7" t="b">
        <v>0</v>
      </c>
      <c r="N9" s="46"/>
      <c r="O9" s="7"/>
      <c r="P9" s="46">
        <v>7</v>
      </c>
      <c r="Q9" s="76" t="s">
        <v>1126</v>
      </c>
      <c r="R9" s="76" t="s">
        <v>1127</v>
      </c>
    </row>
    <row r="10" spans="1:18" ht="14.45">
      <c r="A10" s="8" t="s">
        <v>350</v>
      </c>
      <c r="B10" s="8" t="s">
        <v>351</v>
      </c>
      <c r="C10" s="8">
        <v>100</v>
      </c>
      <c r="D10" s="8" t="s">
        <v>320</v>
      </c>
      <c r="E10" s="8"/>
      <c r="F10" s="8"/>
      <c r="G10" s="8" t="s">
        <v>351</v>
      </c>
      <c r="H10" s="8">
        <v>100</v>
      </c>
      <c r="I10" s="8" t="s">
        <v>98</v>
      </c>
      <c r="J10" s="8"/>
      <c r="K10" s="8"/>
      <c r="L10" s="8"/>
      <c r="M10" s="8" t="s">
        <v>327</v>
      </c>
      <c r="N10" s="46"/>
      <c r="O10" s="7"/>
      <c r="P10" s="46">
        <v>8</v>
      </c>
      <c r="Q10" s="76" t="s">
        <v>1128</v>
      </c>
      <c r="R10" s="76" t="s">
        <v>1129</v>
      </c>
    </row>
    <row r="11" spans="1:18" ht="14.45">
      <c r="A11" s="8" t="s">
        <v>354</v>
      </c>
      <c r="B11" s="8" t="s">
        <v>351</v>
      </c>
      <c r="C11" s="8">
        <v>100</v>
      </c>
      <c r="D11" s="8" t="s">
        <v>320</v>
      </c>
      <c r="E11" s="8"/>
      <c r="F11" s="8"/>
      <c r="G11" s="8" t="s">
        <v>351</v>
      </c>
      <c r="H11" s="8">
        <v>100</v>
      </c>
      <c r="I11" s="8" t="s">
        <v>98</v>
      </c>
      <c r="J11" s="8"/>
      <c r="K11" s="8"/>
      <c r="L11" s="8"/>
      <c r="M11" s="8" t="s">
        <v>327</v>
      </c>
      <c r="N11" s="46"/>
      <c r="O11" s="7"/>
      <c r="P11" s="46">
        <v>9</v>
      </c>
      <c r="Q11" s="76" t="s">
        <v>1130</v>
      </c>
      <c r="R11" s="76" t="s">
        <v>1131</v>
      </c>
    </row>
    <row r="12" spans="1:18" ht="14.45">
      <c r="A12" s="8" t="s">
        <v>357</v>
      </c>
      <c r="B12" s="8" t="s">
        <v>351</v>
      </c>
      <c r="C12" s="8">
        <v>100</v>
      </c>
      <c r="D12" s="8" t="s">
        <v>320</v>
      </c>
      <c r="E12" s="8"/>
      <c r="F12" s="8"/>
      <c r="G12" s="8" t="s">
        <v>351</v>
      </c>
      <c r="H12" s="8">
        <v>100</v>
      </c>
      <c r="I12" s="8" t="s">
        <v>98</v>
      </c>
      <c r="J12" s="8"/>
      <c r="K12" s="8"/>
      <c r="L12" s="8"/>
      <c r="M12" s="8" t="s">
        <v>327</v>
      </c>
      <c r="N12" s="46"/>
      <c r="O12" s="7"/>
      <c r="P12" s="46">
        <v>10</v>
      </c>
      <c r="Q12" s="76" t="s">
        <v>1132</v>
      </c>
      <c r="R12" s="76" t="s">
        <v>1133</v>
      </c>
    </row>
    <row r="13" spans="1:18" ht="14.45">
      <c r="A13" s="8" t="s">
        <v>360</v>
      </c>
      <c r="B13" s="8" t="s">
        <v>351</v>
      </c>
      <c r="C13" s="8">
        <v>100</v>
      </c>
      <c r="D13" s="8" t="s">
        <v>320</v>
      </c>
      <c r="E13" s="8"/>
      <c r="F13" s="8"/>
      <c r="G13" s="8" t="s">
        <v>351</v>
      </c>
      <c r="H13" s="8">
        <v>100</v>
      </c>
      <c r="I13" s="8" t="s">
        <v>98</v>
      </c>
      <c r="J13" s="8"/>
      <c r="K13" s="8"/>
      <c r="L13" s="8"/>
      <c r="M13" s="8" t="s">
        <v>327</v>
      </c>
      <c r="N13" s="46"/>
      <c r="O13" s="7"/>
      <c r="P13" s="46">
        <v>11</v>
      </c>
      <c r="Q13" s="76" t="s">
        <v>1134</v>
      </c>
      <c r="R13" s="76" t="s">
        <v>1135</v>
      </c>
    </row>
    <row r="14" spans="1:18" ht="14.45">
      <c r="A14" s="8" t="s">
        <v>363</v>
      </c>
      <c r="B14" s="8" t="s">
        <v>351</v>
      </c>
      <c r="C14" s="8">
        <v>100</v>
      </c>
      <c r="D14" s="8" t="s">
        <v>320</v>
      </c>
      <c r="E14" s="8"/>
      <c r="F14" s="8"/>
      <c r="G14" s="8" t="s">
        <v>351</v>
      </c>
      <c r="H14" s="8">
        <v>100</v>
      </c>
      <c r="I14" s="8" t="s">
        <v>98</v>
      </c>
      <c r="J14" s="8"/>
      <c r="K14" s="8"/>
      <c r="L14" s="8"/>
      <c r="M14" s="8" t="s">
        <v>327</v>
      </c>
      <c r="N14" s="46"/>
      <c r="O14" s="7"/>
      <c r="P14" s="46">
        <v>12</v>
      </c>
      <c r="Q14" s="76" t="s">
        <v>1136</v>
      </c>
      <c r="R14" s="76" t="s">
        <v>1137</v>
      </c>
    </row>
    <row r="15" spans="1:18" ht="14.45">
      <c r="A15" s="8" t="s">
        <v>366</v>
      </c>
      <c r="B15" s="8" t="s">
        <v>367</v>
      </c>
      <c r="C15" s="8"/>
      <c r="D15" s="8" t="s">
        <v>320</v>
      </c>
      <c r="E15" s="8"/>
      <c r="F15" s="8"/>
      <c r="G15" s="8" t="s">
        <v>367</v>
      </c>
      <c r="H15" s="8"/>
      <c r="I15" s="8" t="s">
        <v>98</v>
      </c>
      <c r="J15" s="8"/>
      <c r="K15" s="8"/>
      <c r="L15" s="8"/>
      <c r="M15" s="8" t="s">
        <v>368</v>
      </c>
      <c r="N15" s="46"/>
      <c r="O15" s="7"/>
      <c r="P15" s="46">
        <v>13</v>
      </c>
      <c r="Q15" s="76" t="s">
        <v>1138</v>
      </c>
      <c r="R15" s="76" t="s">
        <v>1139</v>
      </c>
    </row>
    <row r="16" spans="1:18" ht="14.45">
      <c r="A16" s="8" t="s">
        <v>371</v>
      </c>
      <c r="B16" s="8" t="s">
        <v>367</v>
      </c>
      <c r="C16" s="8"/>
      <c r="D16" s="8" t="s">
        <v>320</v>
      </c>
      <c r="E16" s="8"/>
      <c r="F16" s="8"/>
      <c r="G16" s="8" t="s">
        <v>367</v>
      </c>
      <c r="H16" s="8"/>
      <c r="I16" s="8" t="s">
        <v>98</v>
      </c>
      <c r="J16" s="8"/>
      <c r="K16" s="8"/>
      <c r="L16" s="8"/>
      <c r="M16" s="8" t="s">
        <v>368</v>
      </c>
      <c r="N16" s="46"/>
      <c r="O16" s="7"/>
      <c r="P16" s="46">
        <v>14</v>
      </c>
      <c r="Q16" s="76" t="s">
        <v>1140</v>
      </c>
      <c r="R16" s="76" t="s">
        <v>1141</v>
      </c>
    </row>
    <row r="17" spans="1:18" ht="14.45">
      <c r="A17" s="8" t="s">
        <v>374</v>
      </c>
      <c r="B17" s="8" t="s">
        <v>351</v>
      </c>
      <c r="C17" s="8">
        <v>100</v>
      </c>
      <c r="D17" s="8" t="s">
        <v>320</v>
      </c>
      <c r="E17" s="8"/>
      <c r="F17" s="8"/>
      <c r="G17" s="8" t="s">
        <v>351</v>
      </c>
      <c r="H17" s="8">
        <v>100</v>
      </c>
      <c r="I17" s="8" t="s">
        <v>98</v>
      </c>
      <c r="J17" s="8"/>
      <c r="K17" s="8"/>
      <c r="L17" s="8"/>
      <c r="M17" s="8" t="s">
        <v>327</v>
      </c>
      <c r="N17" s="46"/>
      <c r="O17" s="7"/>
      <c r="P17" s="46">
        <v>15</v>
      </c>
      <c r="Q17" s="76" t="s">
        <v>1142</v>
      </c>
      <c r="R17" s="76" t="s">
        <v>1143</v>
      </c>
    </row>
    <row r="20" spans="1:18" ht="14.45">
      <c r="A20" s="75" t="s">
        <v>1032</v>
      </c>
      <c r="B20" s="75"/>
      <c r="C20" s="75"/>
    </row>
    <row r="21" spans="1:18" ht="14.45">
      <c r="A21" s="89" t="s">
        <v>1144</v>
      </c>
      <c r="B21" s="89"/>
      <c r="C21" s="89"/>
    </row>
    <row r="22" spans="1:18" ht="14.45">
      <c r="A22" s="89" t="s">
        <v>1145</v>
      </c>
      <c r="B22" s="89"/>
      <c r="C22" s="89"/>
    </row>
    <row r="24" spans="1:18" ht="14.45">
      <c r="A24" s="21"/>
      <c r="B24" s="21"/>
      <c r="C24" s="21"/>
    </row>
    <row r="25" spans="1:18" ht="14.45">
      <c r="A25" s="35"/>
      <c r="B25" s="35"/>
      <c r="C25" s="35"/>
    </row>
    <row r="26" spans="1:18" ht="14.45"/>
    <row r="27" spans="1:18" ht="14.45"/>
    <row r="28" spans="1:18" ht="14.45"/>
  </sheetData>
  <conditionalFormatting sqref="Q3:Q4">
    <cfRule type="duplicateValues" dxfId="227" priority="2"/>
  </conditionalFormatting>
  <conditionalFormatting sqref="Q3:Q17">
    <cfRule type="duplicateValues" dxfId="226"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B1B35-D032-4EC4-B2A8-D5E83159ED01}">
  <sheetPr codeName="Sheet51">
    <tabColor rgb="FF92D050"/>
  </sheetPr>
  <dimension ref="A1:R19"/>
  <sheetViews>
    <sheetView workbookViewId="0">
      <selection activeCell="J12" sqref="J12"/>
    </sheetView>
  </sheetViews>
  <sheetFormatPr defaultRowHeight="15" customHeight="1"/>
  <cols>
    <col min="1" max="1" width="37.85546875" customWidth="1"/>
    <col min="2" max="2" width="17.42578125" customWidth="1"/>
    <col min="3" max="3" width="16" customWidth="1"/>
    <col min="4" max="4" width="15.28515625" customWidth="1"/>
    <col min="5" max="5" width="37.7109375" customWidth="1"/>
    <col min="6" max="6" width="26.5703125" bestFit="1"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62.28515625" bestFit="1" customWidth="1"/>
  </cols>
  <sheetData>
    <row r="1" spans="1:18" ht="60" customHeight="1">
      <c r="A1" s="1" t="s">
        <v>1146</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1147</v>
      </c>
      <c r="B3" s="6" t="s">
        <v>319</v>
      </c>
      <c r="C3" s="6"/>
      <c r="D3" s="6" t="s">
        <v>320</v>
      </c>
      <c r="E3" s="6"/>
      <c r="F3" s="6"/>
      <c r="G3" s="6"/>
      <c r="H3" s="6"/>
      <c r="I3" s="6" t="s">
        <v>98</v>
      </c>
      <c r="J3" s="6" t="s">
        <v>321</v>
      </c>
      <c r="K3" s="6"/>
      <c r="L3" s="6"/>
      <c r="M3" s="6">
        <v>-1</v>
      </c>
      <c r="N3" s="46"/>
      <c r="O3" s="7"/>
      <c r="P3" s="46">
        <v>1</v>
      </c>
      <c r="Q3" t="s">
        <v>1148</v>
      </c>
      <c r="R3" t="s">
        <v>1149</v>
      </c>
    </row>
    <row r="4" spans="1:18" ht="14.45">
      <c r="A4" s="9" t="s">
        <v>1150</v>
      </c>
      <c r="B4" s="9" t="s">
        <v>351</v>
      </c>
      <c r="C4" s="9">
        <v>50</v>
      </c>
      <c r="D4" s="9" t="s">
        <v>21</v>
      </c>
      <c r="E4" s="9" t="s">
        <v>1151</v>
      </c>
      <c r="F4" s="9" t="s">
        <v>1152</v>
      </c>
      <c r="G4" s="9" t="s">
        <v>325</v>
      </c>
      <c r="H4" s="9">
        <v>255</v>
      </c>
      <c r="I4" s="9" t="s">
        <v>98</v>
      </c>
      <c r="J4" s="9"/>
      <c r="K4" s="9"/>
      <c r="L4" s="9"/>
      <c r="M4" s="9" t="s">
        <v>327</v>
      </c>
      <c r="N4" s="46"/>
      <c r="O4" s="7"/>
      <c r="P4" s="46">
        <v>2</v>
      </c>
      <c r="Q4" t="s">
        <v>1153</v>
      </c>
      <c r="R4" t="s">
        <v>1154</v>
      </c>
    </row>
    <row r="5" spans="1:18" ht="14.45">
      <c r="A5" s="7" t="s">
        <v>1155</v>
      </c>
      <c r="B5" s="7" t="s">
        <v>351</v>
      </c>
      <c r="C5" s="7">
        <v>255</v>
      </c>
      <c r="D5" s="7" t="s">
        <v>21</v>
      </c>
      <c r="E5" s="7" t="s">
        <v>1151</v>
      </c>
      <c r="F5" s="7" t="s">
        <v>3</v>
      </c>
      <c r="G5" s="7" t="s">
        <v>325</v>
      </c>
      <c r="H5" s="7">
        <v>255</v>
      </c>
      <c r="I5" s="7" t="s">
        <v>74</v>
      </c>
      <c r="J5" s="7"/>
      <c r="K5" s="7"/>
      <c r="L5" s="7"/>
      <c r="M5" s="7" t="s">
        <v>327</v>
      </c>
      <c r="N5" s="46"/>
      <c r="O5" s="7"/>
      <c r="P5" s="46">
        <v>3</v>
      </c>
      <c r="Q5" t="s">
        <v>1156</v>
      </c>
      <c r="R5" t="s">
        <v>1157</v>
      </c>
    </row>
    <row r="6" spans="1:18" ht="14.45">
      <c r="A6" s="7" t="s">
        <v>345</v>
      </c>
      <c r="B6" s="7" t="s">
        <v>346</v>
      </c>
      <c r="C6" s="7"/>
      <c r="D6" s="7" t="s">
        <v>21</v>
      </c>
      <c r="E6" s="7" t="s">
        <v>1151</v>
      </c>
      <c r="F6" s="7" t="s">
        <v>347</v>
      </c>
      <c r="G6" s="7" t="s">
        <v>346</v>
      </c>
      <c r="H6" s="7"/>
      <c r="I6" s="7" t="s">
        <v>98</v>
      </c>
      <c r="J6" s="7"/>
      <c r="K6" s="7"/>
      <c r="L6" s="7"/>
      <c r="M6" s="7" t="b">
        <v>0</v>
      </c>
      <c r="N6" s="46"/>
      <c r="O6" s="7"/>
      <c r="P6" s="46">
        <v>4</v>
      </c>
      <c r="Q6" t="s">
        <v>1158</v>
      </c>
      <c r="R6" t="s">
        <v>1159</v>
      </c>
    </row>
    <row r="7" spans="1:18" ht="14.45">
      <c r="A7" s="8" t="s">
        <v>350</v>
      </c>
      <c r="B7" s="8" t="s">
        <v>351</v>
      </c>
      <c r="C7" s="8">
        <v>100</v>
      </c>
      <c r="D7" s="8" t="s">
        <v>320</v>
      </c>
      <c r="E7" s="8"/>
      <c r="F7" s="8"/>
      <c r="G7" s="8"/>
      <c r="H7" s="8"/>
      <c r="I7" s="8"/>
      <c r="J7" s="8"/>
      <c r="K7" s="8"/>
      <c r="L7" s="8"/>
      <c r="M7" s="8" t="s">
        <v>327</v>
      </c>
      <c r="N7" s="46"/>
      <c r="O7" s="7"/>
      <c r="P7" s="46">
        <v>5</v>
      </c>
      <c r="Q7" t="s">
        <v>1160</v>
      </c>
      <c r="R7" t="s">
        <v>1161</v>
      </c>
    </row>
    <row r="8" spans="1:18" ht="14.45">
      <c r="A8" s="8" t="s">
        <v>354</v>
      </c>
      <c r="B8" s="8" t="s">
        <v>351</v>
      </c>
      <c r="C8" s="8">
        <v>100</v>
      </c>
      <c r="D8" s="8" t="s">
        <v>320</v>
      </c>
      <c r="E8" s="8"/>
      <c r="F8" s="8"/>
      <c r="G8" s="8"/>
      <c r="H8" s="8"/>
      <c r="I8" s="8"/>
      <c r="J8" s="8"/>
      <c r="K8" s="8"/>
      <c r="L8" s="8"/>
      <c r="M8" s="8" t="s">
        <v>327</v>
      </c>
      <c r="N8" s="46"/>
      <c r="O8" s="7"/>
      <c r="P8" s="46">
        <v>6</v>
      </c>
      <c r="Q8" t="s">
        <v>1162</v>
      </c>
      <c r="R8" t="s">
        <v>1163</v>
      </c>
    </row>
    <row r="9" spans="1:18" ht="14.45">
      <c r="A9" s="8" t="s">
        <v>357</v>
      </c>
      <c r="B9" s="8" t="s">
        <v>351</v>
      </c>
      <c r="C9" s="8">
        <v>100</v>
      </c>
      <c r="D9" s="8" t="s">
        <v>320</v>
      </c>
      <c r="E9" s="8"/>
      <c r="F9" s="8"/>
      <c r="G9" s="8"/>
      <c r="H9" s="8"/>
      <c r="I9" s="8"/>
      <c r="J9" s="8"/>
      <c r="K9" s="8"/>
      <c r="L9" s="8"/>
      <c r="M9" s="8" t="s">
        <v>327</v>
      </c>
      <c r="N9" s="46"/>
      <c r="O9" s="7"/>
      <c r="P9" s="46">
        <v>7</v>
      </c>
      <c r="Q9" t="s">
        <v>1164</v>
      </c>
      <c r="R9" t="s">
        <v>1165</v>
      </c>
    </row>
    <row r="10" spans="1:18" ht="14.45">
      <c r="A10" s="8" t="s">
        <v>360</v>
      </c>
      <c r="B10" s="8" t="s">
        <v>351</v>
      </c>
      <c r="C10" s="8">
        <v>100</v>
      </c>
      <c r="D10" s="8" t="s">
        <v>320</v>
      </c>
      <c r="E10" s="8"/>
      <c r="F10" s="8"/>
      <c r="G10" s="8"/>
      <c r="H10" s="8"/>
      <c r="I10" s="8"/>
      <c r="J10" s="8"/>
      <c r="K10" s="8"/>
      <c r="L10" s="8"/>
      <c r="M10" s="8" t="s">
        <v>327</v>
      </c>
      <c r="N10" s="46"/>
      <c r="O10" s="7"/>
      <c r="P10" s="46">
        <v>8</v>
      </c>
      <c r="Q10" t="s">
        <v>1166</v>
      </c>
      <c r="R10" t="s">
        <v>1167</v>
      </c>
    </row>
    <row r="11" spans="1:18" ht="14.45">
      <c r="A11" s="8" t="s">
        <v>363</v>
      </c>
      <c r="B11" s="8" t="s">
        <v>351</v>
      </c>
      <c r="C11" s="8">
        <v>100</v>
      </c>
      <c r="D11" s="8" t="s">
        <v>320</v>
      </c>
      <c r="E11" s="8"/>
      <c r="F11" s="8"/>
      <c r="G11" s="8"/>
      <c r="H11" s="8"/>
      <c r="I11" s="8"/>
      <c r="J11" s="8"/>
      <c r="K11" s="8"/>
      <c r="L11" s="8"/>
      <c r="M11" s="8" t="s">
        <v>327</v>
      </c>
      <c r="N11" s="46"/>
      <c r="O11" s="7"/>
      <c r="P11" s="46">
        <v>9</v>
      </c>
      <c r="Q11" t="s">
        <v>1168</v>
      </c>
      <c r="R11" t="s">
        <v>1169</v>
      </c>
    </row>
    <row r="12" spans="1:18" ht="14.45">
      <c r="A12" s="8" t="s">
        <v>366</v>
      </c>
      <c r="B12" s="8" t="s">
        <v>367</v>
      </c>
      <c r="C12" s="8"/>
      <c r="D12" s="8" t="s">
        <v>320</v>
      </c>
      <c r="E12" s="8"/>
      <c r="F12" s="8"/>
      <c r="G12" s="8"/>
      <c r="H12" s="8"/>
      <c r="I12" s="8"/>
      <c r="J12" s="8"/>
      <c r="K12" s="8"/>
      <c r="L12" s="8"/>
      <c r="M12" s="8" t="s">
        <v>368</v>
      </c>
      <c r="N12" s="46"/>
      <c r="O12" s="7"/>
      <c r="P12" s="46">
        <v>10</v>
      </c>
      <c r="Q12" t="s">
        <v>1170</v>
      </c>
      <c r="R12" t="s">
        <v>1171</v>
      </c>
    </row>
    <row r="13" spans="1:18" ht="14.45">
      <c r="A13" s="8" t="s">
        <v>371</v>
      </c>
      <c r="B13" s="8" t="s">
        <v>367</v>
      </c>
      <c r="C13" s="8"/>
      <c r="D13" s="8" t="s">
        <v>320</v>
      </c>
      <c r="E13" s="8"/>
      <c r="F13" s="8"/>
      <c r="G13" s="8"/>
      <c r="H13" s="8"/>
      <c r="I13" s="8"/>
      <c r="J13" s="8"/>
      <c r="K13" s="8"/>
      <c r="L13" s="8"/>
      <c r="M13" s="8" t="s">
        <v>368</v>
      </c>
      <c r="N13" s="46"/>
      <c r="O13" s="7"/>
      <c r="P13" s="46">
        <v>11</v>
      </c>
      <c r="Q13" t="s">
        <v>1172</v>
      </c>
      <c r="R13" t="s">
        <v>1173</v>
      </c>
    </row>
    <row r="14" spans="1:18" ht="14.45">
      <c r="A14" s="8" t="s">
        <v>374</v>
      </c>
      <c r="B14" s="8" t="s">
        <v>351</v>
      </c>
      <c r="C14" s="8">
        <v>100</v>
      </c>
      <c r="D14" s="8" t="s">
        <v>320</v>
      </c>
      <c r="E14" s="8"/>
      <c r="F14" s="8"/>
      <c r="G14" s="8"/>
      <c r="H14" s="8"/>
      <c r="I14" s="8"/>
      <c r="J14" s="8"/>
      <c r="K14" s="8"/>
      <c r="L14" s="8"/>
      <c r="M14" s="8" t="s">
        <v>327</v>
      </c>
      <c r="N14" s="46"/>
      <c r="O14" s="7"/>
      <c r="P14" s="46">
        <v>12</v>
      </c>
      <c r="Q14" t="s">
        <v>1174</v>
      </c>
      <c r="R14" t="s">
        <v>1175</v>
      </c>
    </row>
    <row r="18" spans="1:3" ht="14.45">
      <c r="A18" s="21"/>
      <c r="B18" s="21"/>
      <c r="C18" s="21"/>
    </row>
    <row r="19" spans="1:3" ht="14.45">
      <c r="A19" s="35"/>
      <c r="B19" s="35"/>
      <c r="C19" s="35"/>
    </row>
  </sheetData>
  <conditionalFormatting sqref="Q3:Q14">
    <cfRule type="duplicateValues" dxfId="225" priority="1"/>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92D050"/>
  </sheetPr>
  <dimension ref="A1:R22"/>
  <sheetViews>
    <sheetView topLeftCell="A2" workbookViewId="0">
      <selection activeCell="E25" sqref="E25"/>
    </sheetView>
  </sheetViews>
  <sheetFormatPr defaultRowHeight="15" customHeight="1"/>
  <cols>
    <col min="1" max="1" width="38.85546875" customWidth="1"/>
    <col min="2" max="2" width="16.85546875" customWidth="1"/>
    <col min="3" max="3" width="15.28515625" customWidth="1"/>
    <col min="4" max="4" width="20.7109375" customWidth="1"/>
    <col min="5" max="5" width="29.85546875" customWidth="1"/>
    <col min="6" max="6" width="23.710937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34.28515625" bestFit="1" customWidth="1"/>
  </cols>
  <sheetData>
    <row r="1" spans="1:18" ht="60" customHeight="1">
      <c r="A1" s="1" t="s">
        <v>292</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1176</v>
      </c>
      <c r="B3" s="6" t="s">
        <v>319</v>
      </c>
      <c r="C3" s="6"/>
      <c r="D3" s="6" t="s">
        <v>320</v>
      </c>
      <c r="E3" s="6"/>
      <c r="F3" s="6"/>
      <c r="G3" s="6"/>
      <c r="H3" s="6"/>
      <c r="I3" s="6" t="s">
        <v>98</v>
      </c>
      <c r="J3" s="6" t="s">
        <v>1177</v>
      </c>
      <c r="K3" s="6"/>
      <c r="L3" s="6"/>
      <c r="M3" s="6">
        <v>-1</v>
      </c>
      <c r="N3" s="46"/>
      <c r="O3" s="7"/>
      <c r="P3" s="46">
        <v>1</v>
      </c>
      <c r="Q3" s="76" t="s">
        <v>1178</v>
      </c>
      <c r="R3" s="76" t="s">
        <v>1179</v>
      </c>
    </row>
    <row r="4" spans="1:18" ht="14.45">
      <c r="A4" s="9" t="s">
        <v>1180</v>
      </c>
      <c r="B4" s="9" t="s">
        <v>351</v>
      </c>
      <c r="C4" s="9">
        <v>5</v>
      </c>
      <c r="D4" s="9" t="s">
        <v>21</v>
      </c>
      <c r="E4" s="9" t="s">
        <v>293</v>
      </c>
      <c r="F4" s="9" t="s">
        <v>1181</v>
      </c>
      <c r="G4" s="9" t="s">
        <v>325</v>
      </c>
      <c r="H4" s="9">
        <v>255</v>
      </c>
      <c r="I4" s="9" t="s">
        <v>98</v>
      </c>
      <c r="J4" s="9"/>
      <c r="K4" s="9"/>
      <c r="L4" s="9"/>
      <c r="M4" s="9" t="s">
        <v>327</v>
      </c>
      <c r="N4" s="46"/>
      <c r="O4" s="7" t="s">
        <v>1182</v>
      </c>
      <c r="P4" s="46">
        <v>2</v>
      </c>
      <c r="Q4" s="76" t="s">
        <v>1183</v>
      </c>
      <c r="R4" s="76" t="s">
        <v>1184</v>
      </c>
    </row>
    <row r="5" spans="1:18" ht="14.45">
      <c r="A5" s="7" t="s">
        <v>1185</v>
      </c>
      <c r="B5" s="7" t="s">
        <v>351</v>
      </c>
      <c r="C5" s="7">
        <v>5</v>
      </c>
      <c r="D5" s="7" t="s">
        <v>21</v>
      </c>
      <c r="E5" s="7" t="s">
        <v>293</v>
      </c>
      <c r="F5" s="7" t="s">
        <v>1186</v>
      </c>
      <c r="G5" s="7" t="s">
        <v>325</v>
      </c>
      <c r="H5" s="7">
        <v>255</v>
      </c>
      <c r="I5" s="7" t="s">
        <v>98</v>
      </c>
      <c r="J5" s="7"/>
      <c r="K5" s="7"/>
      <c r="L5" s="7"/>
      <c r="M5" s="7" t="s">
        <v>327</v>
      </c>
      <c r="N5" s="46"/>
      <c r="O5" s="7" t="s">
        <v>1187</v>
      </c>
      <c r="P5" s="46">
        <v>3</v>
      </c>
      <c r="Q5" s="76" t="s">
        <v>1188</v>
      </c>
      <c r="R5" s="76" t="s">
        <v>1189</v>
      </c>
    </row>
    <row r="6" spans="1:18" ht="14.45">
      <c r="A6" s="7" t="s">
        <v>1190</v>
      </c>
      <c r="B6" s="7" t="s">
        <v>351</v>
      </c>
      <c r="C6" s="7">
        <v>5</v>
      </c>
      <c r="D6" s="7" t="s">
        <v>21</v>
      </c>
      <c r="E6" s="7" t="s">
        <v>293</v>
      </c>
      <c r="F6" s="7" t="s">
        <v>1191</v>
      </c>
      <c r="G6" s="7" t="s">
        <v>325</v>
      </c>
      <c r="H6" s="7">
        <v>255</v>
      </c>
      <c r="I6" s="7" t="s">
        <v>98</v>
      </c>
      <c r="J6" s="7"/>
      <c r="K6" s="7"/>
      <c r="L6" s="7"/>
      <c r="M6" s="7" t="s">
        <v>327</v>
      </c>
      <c r="N6" s="46"/>
      <c r="O6" s="7" t="s">
        <v>1187</v>
      </c>
      <c r="P6" s="46">
        <v>4</v>
      </c>
      <c r="Q6" s="76" t="s">
        <v>1192</v>
      </c>
      <c r="R6" s="76" t="s">
        <v>1193</v>
      </c>
    </row>
    <row r="7" spans="1:18" ht="14.45">
      <c r="A7" s="7" t="s">
        <v>1194</v>
      </c>
      <c r="B7" s="7" t="s">
        <v>351</v>
      </c>
      <c r="C7" s="7">
        <v>255</v>
      </c>
      <c r="D7" s="7" t="s">
        <v>21</v>
      </c>
      <c r="E7" s="7" t="s">
        <v>293</v>
      </c>
      <c r="F7" s="7" t="s">
        <v>1195</v>
      </c>
      <c r="G7" s="7" t="s">
        <v>325</v>
      </c>
      <c r="H7" s="7">
        <v>255</v>
      </c>
      <c r="I7" s="7" t="s">
        <v>74</v>
      </c>
      <c r="J7" s="7"/>
      <c r="K7" s="7"/>
      <c r="L7" s="7"/>
      <c r="M7" s="7" t="s">
        <v>327</v>
      </c>
      <c r="N7" s="46"/>
      <c r="O7" s="7"/>
      <c r="P7" s="46">
        <v>5</v>
      </c>
      <c r="Q7" s="76" t="s">
        <v>1196</v>
      </c>
      <c r="R7" s="76" t="s">
        <v>1197</v>
      </c>
    </row>
    <row r="8" spans="1:18" ht="14.45">
      <c r="A8" s="7" t="s">
        <v>1198</v>
      </c>
      <c r="B8" s="7" t="s">
        <v>351</v>
      </c>
      <c r="C8" s="7">
        <v>255</v>
      </c>
      <c r="D8" s="7" t="s">
        <v>21</v>
      </c>
      <c r="E8" s="7" t="s">
        <v>293</v>
      </c>
      <c r="F8" s="7" t="s">
        <v>1199</v>
      </c>
      <c r="G8" s="7" t="s">
        <v>325</v>
      </c>
      <c r="H8" s="7">
        <v>255</v>
      </c>
      <c r="I8" s="7" t="s">
        <v>74</v>
      </c>
      <c r="J8" s="7"/>
      <c r="K8" s="7"/>
      <c r="L8" s="7"/>
      <c r="M8" s="7" t="s">
        <v>327</v>
      </c>
      <c r="N8" s="46"/>
      <c r="O8" s="7"/>
      <c r="P8" s="46">
        <v>6</v>
      </c>
      <c r="Q8" s="76" t="s">
        <v>1200</v>
      </c>
      <c r="R8" s="76" t="s">
        <v>1201</v>
      </c>
    </row>
    <row r="9" spans="1:18" ht="14.45">
      <c r="A9" s="7" t="s">
        <v>1202</v>
      </c>
      <c r="B9" s="7" t="s">
        <v>351</v>
      </c>
      <c r="C9" s="7">
        <v>255</v>
      </c>
      <c r="D9" s="7" t="s">
        <v>21</v>
      </c>
      <c r="E9" s="7" t="s">
        <v>293</v>
      </c>
      <c r="F9" s="7" t="s">
        <v>1203</v>
      </c>
      <c r="G9" s="7" t="s">
        <v>325</v>
      </c>
      <c r="H9" s="7">
        <v>255</v>
      </c>
      <c r="I9" s="7" t="s">
        <v>74</v>
      </c>
      <c r="J9" s="7"/>
      <c r="K9" s="7"/>
      <c r="L9" s="7"/>
      <c r="M9" s="7" t="s">
        <v>327</v>
      </c>
      <c r="N9" s="46"/>
      <c r="O9" s="7"/>
      <c r="P9" s="46">
        <v>7</v>
      </c>
      <c r="Q9" s="76" t="s">
        <v>1204</v>
      </c>
      <c r="R9" s="76" t="s">
        <v>1205</v>
      </c>
    </row>
    <row r="10" spans="1:18" ht="14.45">
      <c r="A10" s="7" t="s">
        <v>345</v>
      </c>
      <c r="B10" s="7" t="s">
        <v>346</v>
      </c>
      <c r="C10" s="7"/>
      <c r="D10" s="7" t="s">
        <v>21</v>
      </c>
      <c r="E10" s="7" t="s">
        <v>293</v>
      </c>
      <c r="F10" s="7" t="s">
        <v>347</v>
      </c>
      <c r="G10" s="7" t="s">
        <v>346</v>
      </c>
      <c r="H10" s="7"/>
      <c r="I10" s="7" t="s">
        <v>98</v>
      </c>
      <c r="J10" s="7"/>
      <c r="K10" s="7"/>
      <c r="L10" s="7"/>
      <c r="M10" s="7" t="b">
        <v>0</v>
      </c>
      <c r="N10" s="46"/>
      <c r="O10" s="7"/>
      <c r="P10" s="46">
        <v>8</v>
      </c>
      <c r="Q10" s="76" t="s">
        <v>1206</v>
      </c>
      <c r="R10" s="76" t="s">
        <v>1207</v>
      </c>
    </row>
    <row r="11" spans="1:18" ht="14.45">
      <c r="A11" s="8" t="s">
        <v>350</v>
      </c>
      <c r="B11" s="8" t="s">
        <v>351</v>
      </c>
      <c r="C11" s="8">
        <v>100</v>
      </c>
      <c r="D11" s="8" t="s">
        <v>320</v>
      </c>
      <c r="E11" s="8"/>
      <c r="F11" s="8"/>
      <c r="G11" s="8"/>
      <c r="H11" s="8"/>
      <c r="I11" s="8"/>
      <c r="J11" s="8"/>
      <c r="K11" s="8"/>
      <c r="L11" s="8"/>
      <c r="M11" s="8" t="s">
        <v>327</v>
      </c>
      <c r="N11" s="46"/>
      <c r="O11" s="7"/>
      <c r="P11" s="46">
        <v>9</v>
      </c>
      <c r="Q11" s="76" t="s">
        <v>1208</v>
      </c>
      <c r="R11" s="76" t="s">
        <v>1209</v>
      </c>
    </row>
    <row r="12" spans="1:18" ht="14.45">
      <c r="A12" s="8" t="s">
        <v>354</v>
      </c>
      <c r="B12" s="8" t="s">
        <v>351</v>
      </c>
      <c r="C12" s="8">
        <v>100</v>
      </c>
      <c r="D12" s="8" t="s">
        <v>320</v>
      </c>
      <c r="E12" s="8"/>
      <c r="F12" s="8"/>
      <c r="G12" s="8"/>
      <c r="H12" s="8"/>
      <c r="I12" s="8"/>
      <c r="J12" s="8"/>
      <c r="K12" s="8"/>
      <c r="L12" s="8"/>
      <c r="M12" s="8" t="s">
        <v>327</v>
      </c>
      <c r="N12" s="46"/>
      <c r="O12" s="7"/>
      <c r="P12" s="46">
        <v>10</v>
      </c>
      <c r="Q12" s="76" t="s">
        <v>1210</v>
      </c>
      <c r="R12" s="76" t="s">
        <v>1211</v>
      </c>
    </row>
    <row r="13" spans="1:18" ht="14.45">
      <c r="A13" s="8" t="s">
        <v>357</v>
      </c>
      <c r="B13" s="8" t="s">
        <v>351</v>
      </c>
      <c r="C13" s="8">
        <v>100</v>
      </c>
      <c r="D13" s="8" t="s">
        <v>320</v>
      </c>
      <c r="E13" s="8"/>
      <c r="F13" s="8"/>
      <c r="G13" s="8"/>
      <c r="H13" s="8"/>
      <c r="I13" s="8"/>
      <c r="J13" s="8"/>
      <c r="K13" s="8"/>
      <c r="L13" s="8"/>
      <c r="M13" s="8" t="s">
        <v>327</v>
      </c>
      <c r="N13" s="46"/>
      <c r="O13" s="7"/>
      <c r="P13" s="46">
        <v>11</v>
      </c>
      <c r="Q13" s="76" t="s">
        <v>1212</v>
      </c>
      <c r="R13" s="76" t="s">
        <v>1213</v>
      </c>
    </row>
    <row r="14" spans="1:18" ht="14.45">
      <c r="A14" s="8" t="s">
        <v>360</v>
      </c>
      <c r="B14" s="8" t="s">
        <v>351</v>
      </c>
      <c r="C14" s="8">
        <v>100</v>
      </c>
      <c r="D14" s="8" t="s">
        <v>320</v>
      </c>
      <c r="E14" s="8"/>
      <c r="F14" s="8"/>
      <c r="G14" s="8"/>
      <c r="H14" s="8"/>
      <c r="I14" s="8"/>
      <c r="J14" s="8"/>
      <c r="K14" s="8"/>
      <c r="L14" s="8"/>
      <c r="M14" s="8" t="s">
        <v>327</v>
      </c>
      <c r="N14" s="46"/>
      <c r="O14" s="7"/>
      <c r="P14" s="46">
        <v>12</v>
      </c>
      <c r="Q14" s="76" t="s">
        <v>1214</v>
      </c>
      <c r="R14" s="76" t="s">
        <v>1215</v>
      </c>
    </row>
    <row r="15" spans="1:18" ht="14.45">
      <c r="A15" s="8" t="s">
        <v>363</v>
      </c>
      <c r="B15" s="8" t="s">
        <v>351</v>
      </c>
      <c r="C15" s="8">
        <v>100</v>
      </c>
      <c r="D15" s="8" t="s">
        <v>320</v>
      </c>
      <c r="E15" s="8"/>
      <c r="F15" s="8"/>
      <c r="G15" s="8"/>
      <c r="H15" s="8"/>
      <c r="I15" s="8"/>
      <c r="J15" s="8"/>
      <c r="K15" s="8"/>
      <c r="L15" s="8"/>
      <c r="M15" s="8" t="s">
        <v>327</v>
      </c>
      <c r="N15" s="46"/>
      <c r="O15" s="7"/>
      <c r="P15" s="46">
        <v>13</v>
      </c>
      <c r="Q15" s="76" t="s">
        <v>1216</v>
      </c>
      <c r="R15" s="76" t="s">
        <v>1217</v>
      </c>
    </row>
    <row r="16" spans="1:18" ht="14.45">
      <c r="A16" s="8" t="s">
        <v>366</v>
      </c>
      <c r="B16" s="8" t="s">
        <v>367</v>
      </c>
      <c r="C16" s="8"/>
      <c r="D16" s="8" t="s">
        <v>320</v>
      </c>
      <c r="E16" s="8"/>
      <c r="F16" s="8"/>
      <c r="G16" s="8"/>
      <c r="H16" s="8"/>
      <c r="I16" s="8"/>
      <c r="J16" s="8"/>
      <c r="K16" s="8"/>
      <c r="L16" s="8"/>
      <c r="M16" s="8" t="s">
        <v>368</v>
      </c>
      <c r="N16" s="46"/>
      <c r="O16" s="7"/>
      <c r="P16" s="46">
        <v>14</v>
      </c>
      <c r="Q16" s="76" t="s">
        <v>1218</v>
      </c>
      <c r="R16" s="76" t="s">
        <v>1219</v>
      </c>
    </row>
    <row r="17" spans="1:18" ht="14.45">
      <c r="A17" s="8" t="s">
        <v>371</v>
      </c>
      <c r="B17" s="8" t="s">
        <v>367</v>
      </c>
      <c r="C17" s="8"/>
      <c r="D17" s="8" t="s">
        <v>320</v>
      </c>
      <c r="E17" s="8"/>
      <c r="F17" s="8"/>
      <c r="G17" s="8"/>
      <c r="H17" s="8"/>
      <c r="I17" s="8"/>
      <c r="J17" s="8"/>
      <c r="K17" s="8"/>
      <c r="L17" s="8"/>
      <c r="M17" s="8" t="s">
        <v>368</v>
      </c>
      <c r="N17" s="46"/>
      <c r="O17" s="7"/>
      <c r="P17" s="46">
        <v>15</v>
      </c>
      <c r="Q17" s="76" t="s">
        <v>1220</v>
      </c>
      <c r="R17" s="76" t="s">
        <v>1221</v>
      </c>
    </row>
    <row r="18" spans="1:18" ht="14.45">
      <c r="A18" s="8" t="s">
        <v>374</v>
      </c>
      <c r="B18" s="8" t="s">
        <v>351</v>
      </c>
      <c r="C18" s="8">
        <v>100</v>
      </c>
      <c r="D18" s="8" t="s">
        <v>320</v>
      </c>
      <c r="E18" s="8"/>
      <c r="F18" s="8"/>
      <c r="G18" s="8"/>
      <c r="H18" s="8"/>
      <c r="I18" s="8"/>
      <c r="J18" s="8"/>
      <c r="K18" s="8"/>
      <c r="L18" s="8"/>
      <c r="M18" s="8" t="s">
        <v>327</v>
      </c>
      <c r="N18" s="46"/>
      <c r="O18" s="7"/>
      <c r="P18" s="46">
        <v>16</v>
      </c>
      <c r="Q18" s="76" t="s">
        <v>1222</v>
      </c>
      <c r="R18" s="76" t="s">
        <v>1223</v>
      </c>
    </row>
    <row r="21" spans="1:18" ht="14.45">
      <c r="A21" s="21"/>
      <c r="B21" s="21"/>
      <c r="C21" s="21"/>
    </row>
    <row r="22" spans="1:18" ht="14.45">
      <c r="A22" s="35"/>
      <c r="B22" s="35"/>
      <c r="C22" s="35"/>
    </row>
  </sheetData>
  <conditionalFormatting sqref="Q3">
    <cfRule type="duplicateValues" dxfId="224" priority="2"/>
  </conditionalFormatting>
  <conditionalFormatting sqref="Q3:Q18">
    <cfRule type="duplicateValues" dxfId="223" priority="1"/>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C6559B-1A3A-47DF-8FD3-392232860EF9}">
  <sheetPr codeName="Sheet46">
    <tabColor rgb="FF7030A0"/>
  </sheetPr>
  <dimension ref="A1:P106"/>
  <sheetViews>
    <sheetView workbookViewId="0">
      <pane xSplit="1" ySplit="2" topLeftCell="B79" activePane="bottomRight" state="frozen"/>
      <selection pane="bottomRight" activeCell="A106" sqref="A106"/>
      <selection pane="bottomLeft"/>
      <selection pane="topRight"/>
    </sheetView>
  </sheetViews>
  <sheetFormatPr defaultRowHeight="15" customHeight="1"/>
  <cols>
    <col min="1" max="1" width="33.42578125" customWidth="1"/>
    <col min="2" max="2" width="20.7109375" customWidth="1"/>
    <col min="3" max="3" width="26" customWidth="1"/>
    <col min="4" max="4" width="40.85546875" bestFit="1" customWidth="1"/>
    <col min="5" max="7" width="15.7109375" customWidth="1"/>
    <col min="8" max="8" width="54.5703125" customWidth="1"/>
    <col min="9" max="9" width="40.5703125" customWidth="1"/>
    <col min="10" max="10" width="72.28515625" customWidth="1"/>
    <col min="11" max="11" width="20.7109375" customWidth="1"/>
    <col min="12" max="12" width="15.7109375" bestFit="1" customWidth="1"/>
    <col min="13" max="13" width="59.140625" customWidth="1"/>
    <col min="14" max="14" width="17.28515625" bestFit="1" customWidth="1"/>
    <col min="15" max="15" width="38.28515625" bestFit="1" customWidth="1"/>
    <col min="16" max="16" width="47.28515625" bestFit="1" customWidth="1"/>
    <col min="17" max="17" width="11.7109375" customWidth="1"/>
  </cols>
  <sheetData>
    <row r="1" spans="1:16" ht="60" customHeight="1">
      <c r="A1" s="1" t="s">
        <v>112</v>
      </c>
      <c r="D1" s="2" t="s">
        <v>297</v>
      </c>
      <c r="I1" s="3" t="s">
        <v>298</v>
      </c>
      <c r="J1" s="4" t="s">
        <v>299</v>
      </c>
      <c r="K1" s="19" t="s">
        <v>300</v>
      </c>
      <c r="L1" s="23" t="s">
        <v>301</v>
      </c>
    </row>
    <row r="2" spans="1:16" ht="14.45">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ht="14.45">
      <c r="A3" s="7" t="s">
        <v>1224</v>
      </c>
      <c r="B3" s="7" t="s">
        <v>113</v>
      </c>
      <c r="C3" s="7" t="s">
        <v>114</v>
      </c>
      <c r="D3" s="7" t="s">
        <v>1225</v>
      </c>
      <c r="E3" s="7" t="s">
        <v>325</v>
      </c>
      <c r="F3" s="7">
        <v>50</v>
      </c>
      <c r="G3" s="7" t="s">
        <v>74</v>
      </c>
      <c r="H3" s="7"/>
      <c r="I3" s="7"/>
      <c r="J3" s="7" t="s">
        <v>1226</v>
      </c>
      <c r="K3" s="7" t="s">
        <v>327</v>
      </c>
      <c r="L3" s="46"/>
      <c r="M3" t="s">
        <v>1227</v>
      </c>
      <c r="N3" s="46">
        <v>2</v>
      </c>
      <c r="O3" t="s">
        <v>1228</v>
      </c>
      <c r="P3" t="s">
        <v>1229</v>
      </c>
    </row>
    <row r="4" spans="1:16" ht="14.45">
      <c r="A4" s="7" t="s">
        <v>1230</v>
      </c>
      <c r="B4" s="7" t="s">
        <v>113</v>
      </c>
      <c r="C4" s="7" t="s">
        <v>114</v>
      </c>
      <c r="D4" s="7" t="s">
        <v>1231</v>
      </c>
      <c r="E4" s="7" t="s">
        <v>351</v>
      </c>
      <c r="F4" s="7">
        <v>20</v>
      </c>
      <c r="G4" s="7" t="s">
        <v>74</v>
      </c>
      <c r="H4" s="7"/>
      <c r="I4" s="7"/>
      <c r="J4" s="7" t="s">
        <v>1232</v>
      </c>
      <c r="K4" s="7" t="s">
        <v>327</v>
      </c>
      <c r="L4" s="46"/>
      <c r="M4" s="7"/>
      <c r="N4" s="46">
        <v>3</v>
      </c>
      <c r="O4" t="s">
        <v>1233</v>
      </c>
      <c r="P4" t="s">
        <v>1234</v>
      </c>
    </row>
    <row r="5" spans="1:16" ht="14.45">
      <c r="A5" s="22" t="s">
        <v>1235</v>
      </c>
      <c r="B5" s="22" t="s">
        <v>60</v>
      </c>
      <c r="C5" s="22" t="s">
        <v>118</v>
      </c>
      <c r="D5" s="22" t="s">
        <v>1230</v>
      </c>
      <c r="E5" s="22" t="s">
        <v>319</v>
      </c>
      <c r="F5" s="22"/>
      <c r="G5" s="22" t="s">
        <v>74</v>
      </c>
      <c r="H5" s="22" t="s">
        <v>1236</v>
      </c>
      <c r="I5" s="22"/>
      <c r="J5" s="22" t="s">
        <v>1232</v>
      </c>
      <c r="K5" s="22">
        <v>-1</v>
      </c>
      <c r="L5" s="46"/>
      <c r="M5" s="7"/>
      <c r="N5" s="46">
        <v>4</v>
      </c>
      <c r="O5" t="s">
        <v>1237</v>
      </c>
      <c r="P5" t="s">
        <v>1238</v>
      </c>
    </row>
    <row r="6" spans="1:16" ht="14.45">
      <c r="A6" s="7" t="s">
        <v>1239</v>
      </c>
      <c r="B6" s="7" t="s">
        <v>113</v>
      </c>
      <c r="C6" s="7" t="s">
        <v>114</v>
      </c>
      <c r="D6" s="7" t="s">
        <v>1240</v>
      </c>
      <c r="E6" s="7" t="s">
        <v>351</v>
      </c>
      <c r="F6" s="7">
        <v>20</v>
      </c>
      <c r="G6" s="7" t="s">
        <v>74</v>
      </c>
      <c r="H6" s="7"/>
      <c r="I6" s="7"/>
      <c r="J6" s="7" t="s">
        <v>1241</v>
      </c>
      <c r="K6" s="7" t="s">
        <v>327</v>
      </c>
      <c r="L6" s="46"/>
      <c r="M6" s="7"/>
      <c r="N6" s="46">
        <v>5</v>
      </c>
      <c r="O6" t="s">
        <v>1242</v>
      </c>
      <c r="P6" t="s">
        <v>1243</v>
      </c>
    </row>
    <row r="7" spans="1:16" ht="14.45">
      <c r="A7" s="83" t="s">
        <v>487</v>
      </c>
      <c r="B7" s="7" t="s">
        <v>113</v>
      </c>
      <c r="C7" s="7" t="s">
        <v>114</v>
      </c>
      <c r="D7" s="7" t="s">
        <v>1244</v>
      </c>
      <c r="E7" s="7" t="s">
        <v>325</v>
      </c>
      <c r="F7" s="7">
        <v>10</v>
      </c>
      <c r="G7" s="7" t="s">
        <v>74</v>
      </c>
      <c r="H7" s="7"/>
      <c r="I7" s="7"/>
      <c r="J7" s="7" t="s">
        <v>1245</v>
      </c>
      <c r="K7" s="7" t="s">
        <v>327</v>
      </c>
      <c r="L7" s="46"/>
      <c r="M7" s="7"/>
      <c r="N7" s="46">
        <v>6</v>
      </c>
      <c r="O7" t="s">
        <v>1246</v>
      </c>
      <c r="P7" t="s">
        <v>1247</v>
      </c>
    </row>
    <row r="8" spans="1:16" ht="14.45">
      <c r="A8" s="22" t="s">
        <v>1248</v>
      </c>
      <c r="B8" s="22" t="s">
        <v>60</v>
      </c>
      <c r="C8" s="22" t="s">
        <v>189</v>
      </c>
      <c r="D8" s="22" t="s">
        <v>1248</v>
      </c>
      <c r="E8" s="22" t="s">
        <v>319</v>
      </c>
      <c r="F8" s="22"/>
      <c r="G8" s="22" t="s">
        <v>74</v>
      </c>
      <c r="H8" s="22" t="s">
        <v>1249</v>
      </c>
      <c r="I8" s="22"/>
      <c r="J8" s="22" t="s">
        <v>1241</v>
      </c>
      <c r="K8" s="22">
        <v>-1</v>
      </c>
      <c r="L8" s="46"/>
      <c r="M8" s="7"/>
      <c r="N8" s="46">
        <v>7</v>
      </c>
      <c r="O8" t="s">
        <v>1250</v>
      </c>
      <c r="P8" t="s">
        <v>1251</v>
      </c>
    </row>
    <row r="9" spans="1:16" ht="14.45">
      <c r="A9" s="7" t="s">
        <v>1252</v>
      </c>
      <c r="B9" s="7" t="s">
        <v>113</v>
      </c>
      <c r="C9" s="7" t="s">
        <v>114</v>
      </c>
      <c r="D9" s="7" t="s">
        <v>1253</v>
      </c>
      <c r="E9" s="7" t="s">
        <v>351</v>
      </c>
      <c r="F9" s="7">
        <v>20</v>
      </c>
      <c r="G9" s="7" t="s">
        <v>74</v>
      </c>
      <c r="H9" s="7"/>
      <c r="I9" s="7"/>
      <c r="J9" s="7" t="s">
        <v>1254</v>
      </c>
      <c r="K9" s="7" t="s">
        <v>327</v>
      </c>
      <c r="L9" s="46"/>
      <c r="M9" s="7"/>
      <c r="N9" s="46">
        <v>8</v>
      </c>
      <c r="O9" t="s">
        <v>1255</v>
      </c>
      <c r="P9" t="s">
        <v>1256</v>
      </c>
    </row>
    <row r="10" spans="1:16" ht="14.45">
      <c r="A10" s="7" t="s">
        <v>1257</v>
      </c>
      <c r="B10" s="7" t="s">
        <v>113</v>
      </c>
      <c r="C10" s="7" t="s">
        <v>114</v>
      </c>
      <c r="D10" s="7" t="s">
        <v>1258</v>
      </c>
      <c r="E10" s="7" t="s">
        <v>325</v>
      </c>
      <c r="F10" s="7">
        <v>10</v>
      </c>
      <c r="G10" s="7" t="s">
        <v>74</v>
      </c>
      <c r="H10" s="7"/>
      <c r="I10" s="7"/>
      <c r="J10" s="7"/>
      <c r="K10" s="7" t="s">
        <v>327</v>
      </c>
      <c r="L10" s="46"/>
      <c r="M10" s="7"/>
      <c r="N10" s="46">
        <v>9</v>
      </c>
      <c r="O10" t="s">
        <v>1259</v>
      </c>
      <c r="P10" t="s">
        <v>1260</v>
      </c>
    </row>
    <row r="11" spans="1:16" ht="14.45">
      <c r="A11" s="22" t="s">
        <v>1261</v>
      </c>
      <c r="B11" s="22" t="s">
        <v>60</v>
      </c>
      <c r="C11" s="22" t="s">
        <v>189</v>
      </c>
      <c r="D11" s="22" t="s">
        <v>1248</v>
      </c>
      <c r="E11" s="22" t="s">
        <v>319</v>
      </c>
      <c r="F11" s="22"/>
      <c r="G11" s="22" t="s">
        <v>74</v>
      </c>
      <c r="H11" s="22" t="s">
        <v>1262</v>
      </c>
      <c r="I11" s="22"/>
      <c r="J11" s="22" t="s">
        <v>1254</v>
      </c>
      <c r="K11" s="22">
        <v>-1</v>
      </c>
      <c r="L11" s="46"/>
      <c r="M11" s="7"/>
      <c r="N11" s="46">
        <v>10</v>
      </c>
      <c r="O11" t="s">
        <v>1263</v>
      </c>
      <c r="P11" t="s">
        <v>1264</v>
      </c>
    </row>
    <row r="12" spans="1:16" ht="14.45">
      <c r="A12" s="22" t="s">
        <v>1265</v>
      </c>
      <c r="B12" s="22" t="s">
        <v>66</v>
      </c>
      <c r="C12" s="22" t="s">
        <v>146</v>
      </c>
      <c r="D12" s="22" t="s">
        <v>479</v>
      </c>
      <c r="E12" s="22" t="s">
        <v>319</v>
      </c>
      <c r="F12" s="22"/>
      <c r="G12" s="22" t="s">
        <v>74</v>
      </c>
      <c r="H12" s="22" t="s">
        <v>1266</v>
      </c>
      <c r="I12" s="22"/>
      <c r="J12" s="22" t="s">
        <v>1267</v>
      </c>
      <c r="K12" s="22">
        <v>-1</v>
      </c>
      <c r="L12" s="46"/>
      <c r="M12" s="7"/>
      <c r="N12" s="46">
        <v>11</v>
      </c>
      <c r="O12" t="s">
        <v>1268</v>
      </c>
      <c r="P12" t="s">
        <v>1269</v>
      </c>
    </row>
    <row r="13" spans="1:16" ht="14.45">
      <c r="A13" s="7" t="s">
        <v>1270</v>
      </c>
      <c r="B13" s="7" t="s">
        <v>113</v>
      </c>
      <c r="C13" s="7" t="s">
        <v>114</v>
      </c>
      <c r="D13" s="7" t="s">
        <v>1271</v>
      </c>
      <c r="E13" s="7" t="s">
        <v>325</v>
      </c>
      <c r="F13" s="7">
        <v>10</v>
      </c>
      <c r="G13" s="7" t="s">
        <v>74</v>
      </c>
      <c r="H13" s="7"/>
      <c r="I13" s="7"/>
      <c r="J13" s="7" t="s">
        <v>1272</v>
      </c>
      <c r="K13" s="7" t="s">
        <v>327</v>
      </c>
      <c r="L13" s="46"/>
      <c r="M13" s="7" t="s">
        <v>1273</v>
      </c>
      <c r="N13" s="46">
        <v>12</v>
      </c>
      <c r="O13" t="s">
        <v>1274</v>
      </c>
      <c r="P13" t="s">
        <v>1275</v>
      </c>
    </row>
    <row r="14" spans="1:16" ht="14.45">
      <c r="A14" s="22" t="s">
        <v>1276</v>
      </c>
      <c r="B14" s="22" t="s">
        <v>66</v>
      </c>
      <c r="C14" s="22" t="s">
        <v>158</v>
      </c>
      <c r="D14" s="22" t="s">
        <v>504</v>
      </c>
      <c r="E14" s="22" t="s">
        <v>351</v>
      </c>
      <c r="F14" s="22">
        <v>5</v>
      </c>
      <c r="G14" s="22" t="s">
        <v>74</v>
      </c>
      <c r="H14" s="22" t="s">
        <v>1277</v>
      </c>
      <c r="I14" s="22"/>
      <c r="J14" s="22" t="s">
        <v>1278</v>
      </c>
      <c r="K14" s="22" t="s">
        <v>327</v>
      </c>
      <c r="L14" s="46"/>
      <c r="M14" s="7"/>
      <c r="N14" s="46">
        <v>13</v>
      </c>
      <c r="O14" t="s">
        <v>1279</v>
      </c>
      <c r="P14" t="s">
        <v>1280</v>
      </c>
    </row>
    <row r="15" spans="1:16" ht="14.45">
      <c r="A15" s="7" t="s">
        <v>1281</v>
      </c>
      <c r="B15" s="7" t="s">
        <v>113</v>
      </c>
      <c r="C15" s="7" t="s">
        <v>114</v>
      </c>
      <c r="D15" s="7" t="s">
        <v>1282</v>
      </c>
      <c r="E15" s="7" t="s">
        <v>351</v>
      </c>
      <c r="F15" s="7">
        <v>20</v>
      </c>
      <c r="G15" s="7" t="s">
        <v>74</v>
      </c>
      <c r="H15" s="7"/>
      <c r="I15" s="7"/>
      <c r="J15" s="7" t="s">
        <v>1283</v>
      </c>
      <c r="K15" s="7" t="s">
        <v>327</v>
      </c>
      <c r="L15" s="46"/>
      <c r="M15" s="7"/>
      <c r="N15" s="46">
        <v>14</v>
      </c>
      <c r="O15" t="s">
        <v>1284</v>
      </c>
      <c r="P15" t="s">
        <v>1285</v>
      </c>
    </row>
    <row r="16" spans="1:16" ht="14.45">
      <c r="A16" s="7" t="s">
        <v>1286</v>
      </c>
      <c r="B16" s="7" t="s">
        <v>113</v>
      </c>
      <c r="C16" s="7" t="s">
        <v>114</v>
      </c>
      <c r="D16" s="7" t="s">
        <v>1287</v>
      </c>
      <c r="E16" s="7" t="s">
        <v>325</v>
      </c>
      <c r="F16" s="7">
        <v>10</v>
      </c>
      <c r="G16" s="7" t="s">
        <v>74</v>
      </c>
      <c r="H16" s="7"/>
      <c r="I16" s="7"/>
      <c r="J16" s="7" t="s">
        <v>1288</v>
      </c>
      <c r="K16" s="7" t="s">
        <v>327</v>
      </c>
      <c r="L16" s="46"/>
      <c r="N16" s="46">
        <v>15</v>
      </c>
      <c r="O16" t="s">
        <v>1289</v>
      </c>
      <c r="P16" t="s">
        <v>1290</v>
      </c>
    </row>
    <row r="17" spans="1:16" ht="14.45">
      <c r="A17" s="22" t="s">
        <v>1291</v>
      </c>
      <c r="B17" s="22" t="s">
        <v>60</v>
      </c>
      <c r="C17" s="22" t="s">
        <v>247</v>
      </c>
      <c r="D17" s="22" t="s">
        <v>1292</v>
      </c>
      <c r="E17" s="22" t="s">
        <v>319</v>
      </c>
      <c r="F17" s="22"/>
      <c r="G17" s="22" t="s">
        <v>74</v>
      </c>
      <c r="H17" s="22" t="s">
        <v>1293</v>
      </c>
      <c r="I17" s="22"/>
      <c r="J17" s="22" t="s">
        <v>1283</v>
      </c>
      <c r="K17" s="22">
        <v>-1</v>
      </c>
      <c r="L17" s="46"/>
      <c r="M17" t="s">
        <v>1227</v>
      </c>
      <c r="N17" s="46">
        <v>16</v>
      </c>
      <c r="O17" t="s">
        <v>1294</v>
      </c>
      <c r="P17" t="s">
        <v>1295</v>
      </c>
    </row>
    <row r="18" spans="1:16" ht="14.45">
      <c r="A18" s="22" t="s">
        <v>1296</v>
      </c>
      <c r="B18" s="22" t="s">
        <v>66</v>
      </c>
      <c r="C18" s="22" t="s">
        <v>146</v>
      </c>
      <c r="D18" s="22" t="s">
        <v>479</v>
      </c>
      <c r="E18" s="22" t="s">
        <v>319</v>
      </c>
      <c r="F18" s="22"/>
      <c r="G18" s="22" t="s">
        <v>74</v>
      </c>
      <c r="H18" s="22" t="s">
        <v>1297</v>
      </c>
      <c r="I18" s="22"/>
      <c r="J18" s="22" t="s">
        <v>1298</v>
      </c>
      <c r="K18" s="22">
        <v>-1</v>
      </c>
      <c r="L18" s="46"/>
      <c r="M18" s="7"/>
      <c r="N18" s="46">
        <v>17</v>
      </c>
      <c r="O18" t="s">
        <v>1299</v>
      </c>
      <c r="P18" t="s">
        <v>1300</v>
      </c>
    </row>
    <row r="19" spans="1:16" ht="14.45">
      <c r="A19" s="22" t="s">
        <v>1301</v>
      </c>
      <c r="B19" s="22" t="s">
        <v>66</v>
      </c>
      <c r="C19" s="22" t="s">
        <v>236</v>
      </c>
      <c r="D19" s="22" t="s">
        <v>927</v>
      </c>
      <c r="E19" s="22" t="s">
        <v>319</v>
      </c>
      <c r="F19" s="22"/>
      <c r="G19" s="22" t="s">
        <v>74</v>
      </c>
      <c r="H19" s="22" t="s">
        <v>1302</v>
      </c>
      <c r="I19" s="22"/>
      <c r="J19" s="22" t="s">
        <v>1303</v>
      </c>
      <c r="K19" s="22">
        <v>-1</v>
      </c>
      <c r="L19" s="46"/>
      <c r="M19" s="7"/>
      <c r="N19" s="46">
        <v>18</v>
      </c>
      <c r="O19" t="s">
        <v>1304</v>
      </c>
      <c r="P19" t="s">
        <v>1305</v>
      </c>
    </row>
    <row r="20" spans="1:16" ht="14.45">
      <c r="A20" s="22" t="s">
        <v>1306</v>
      </c>
      <c r="B20" s="22" t="s">
        <v>66</v>
      </c>
      <c r="C20" s="22" t="s">
        <v>270</v>
      </c>
      <c r="D20" s="22" t="s">
        <v>1072</v>
      </c>
      <c r="E20" s="22" t="s">
        <v>319</v>
      </c>
      <c r="F20" s="22"/>
      <c r="G20" s="22" t="s">
        <v>74</v>
      </c>
      <c r="H20" s="22" t="s">
        <v>1307</v>
      </c>
      <c r="I20" s="22"/>
      <c r="J20" s="22" t="s">
        <v>1308</v>
      </c>
      <c r="K20" s="22">
        <v>-1</v>
      </c>
      <c r="L20" s="46"/>
      <c r="M20" s="7"/>
      <c r="N20" s="46">
        <v>19</v>
      </c>
      <c r="O20" t="s">
        <v>1309</v>
      </c>
      <c r="P20" t="s">
        <v>1310</v>
      </c>
    </row>
    <row r="21" spans="1:16" ht="14.45">
      <c r="A21" s="22" t="s">
        <v>1311</v>
      </c>
      <c r="B21" s="22" t="s">
        <v>66</v>
      </c>
      <c r="C21" s="22" t="s">
        <v>281</v>
      </c>
      <c r="D21" s="22" t="s">
        <v>1103</v>
      </c>
      <c r="E21" s="22" t="s">
        <v>319</v>
      </c>
      <c r="F21" s="22"/>
      <c r="G21" s="22" t="s">
        <v>74</v>
      </c>
      <c r="H21" s="22" t="s">
        <v>1312</v>
      </c>
      <c r="I21" s="22"/>
      <c r="J21" s="22" t="s">
        <v>1313</v>
      </c>
      <c r="K21" s="22">
        <v>-1</v>
      </c>
      <c r="L21" s="46"/>
      <c r="M21" s="7"/>
      <c r="N21" s="46">
        <v>20</v>
      </c>
      <c r="O21" t="s">
        <v>1314</v>
      </c>
      <c r="P21" t="s">
        <v>1315</v>
      </c>
    </row>
    <row r="22" spans="1:16" ht="14.45">
      <c r="A22" s="22" t="s">
        <v>1316</v>
      </c>
      <c r="B22" s="22" t="s">
        <v>66</v>
      </c>
      <c r="C22" s="22" t="s">
        <v>146</v>
      </c>
      <c r="D22" s="22" t="s">
        <v>479</v>
      </c>
      <c r="E22" s="22" t="s">
        <v>319</v>
      </c>
      <c r="F22" s="22"/>
      <c r="G22" s="22" t="s">
        <v>74</v>
      </c>
      <c r="H22" s="22" t="s">
        <v>1297</v>
      </c>
      <c r="I22" s="22"/>
      <c r="J22" s="22" t="s">
        <v>1317</v>
      </c>
      <c r="K22" s="22">
        <v>-1</v>
      </c>
      <c r="L22" s="46"/>
      <c r="M22" s="7"/>
      <c r="N22" s="46">
        <v>21</v>
      </c>
      <c r="O22" t="s">
        <v>1318</v>
      </c>
      <c r="P22" t="s">
        <v>1319</v>
      </c>
    </row>
    <row r="23" spans="1:16" ht="14.45">
      <c r="A23" s="22" t="s">
        <v>1320</v>
      </c>
      <c r="B23" s="22" t="s">
        <v>66</v>
      </c>
      <c r="C23" s="22" t="s">
        <v>236</v>
      </c>
      <c r="D23" s="22" t="s">
        <v>927</v>
      </c>
      <c r="E23" s="22" t="s">
        <v>319</v>
      </c>
      <c r="F23" s="22"/>
      <c r="G23" s="22" t="s">
        <v>74</v>
      </c>
      <c r="H23" s="22" t="s">
        <v>1321</v>
      </c>
      <c r="I23" s="22"/>
      <c r="J23" s="22" t="s">
        <v>1322</v>
      </c>
      <c r="K23" s="22">
        <v>-1</v>
      </c>
      <c r="L23" s="46"/>
      <c r="M23" s="7"/>
      <c r="N23" s="46">
        <v>22</v>
      </c>
      <c r="O23" t="s">
        <v>1323</v>
      </c>
      <c r="P23" t="s">
        <v>1324</v>
      </c>
    </row>
    <row r="24" spans="1:16" ht="14.45">
      <c r="A24" s="22" t="s">
        <v>1325</v>
      </c>
      <c r="B24" s="22" t="s">
        <v>66</v>
      </c>
      <c r="C24" s="22" t="s">
        <v>270</v>
      </c>
      <c r="D24" s="22" t="s">
        <v>1072</v>
      </c>
      <c r="E24" s="22" t="s">
        <v>319</v>
      </c>
      <c r="F24" s="22"/>
      <c r="G24" s="22" t="s">
        <v>74</v>
      </c>
      <c r="H24" s="22" t="s">
        <v>1326</v>
      </c>
      <c r="I24" s="22"/>
      <c r="J24" s="22" t="s">
        <v>1327</v>
      </c>
      <c r="K24" s="22">
        <v>-1</v>
      </c>
      <c r="L24" s="46"/>
      <c r="M24" s="7"/>
      <c r="N24" s="46">
        <v>23</v>
      </c>
      <c r="O24" t="s">
        <v>1328</v>
      </c>
      <c r="P24" t="s">
        <v>1329</v>
      </c>
    </row>
    <row r="25" spans="1:16" ht="14.45">
      <c r="A25" s="22" t="s">
        <v>1330</v>
      </c>
      <c r="B25" s="22" t="s">
        <v>66</v>
      </c>
      <c r="C25" s="22" t="s">
        <v>281</v>
      </c>
      <c r="D25" s="22" t="s">
        <v>1103</v>
      </c>
      <c r="E25" s="22" t="s">
        <v>319</v>
      </c>
      <c r="F25" s="22"/>
      <c r="G25" s="22" t="s">
        <v>74</v>
      </c>
      <c r="H25" s="22" t="s">
        <v>1331</v>
      </c>
      <c r="I25" s="22"/>
      <c r="J25" s="22" t="s">
        <v>1332</v>
      </c>
      <c r="K25" s="22">
        <v>-1</v>
      </c>
      <c r="L25" s="46"/>
      <c r="M25" s="7"/>
      <c r="N25" s="46">
        <v>24</v>
      </c>
      <c r="O25" t="s">
        <v>1333</v>
      </c>
      <c r="P25" t="s">
        <v>1334</v>
      </c>
    </row>
    <row r="26" spans="1:16" ht="14.45">
      <c r="A26" s="22" t="s">
        <v>1335</v>
      </c>
      <c r="B26" s="22" t="s">
        <v>66</v>
      </c>
      <c r="C26" s="22" t="s">
        <v>170</v>
      </c>
      <c r="D26" s="22" t="s">
        <v>619</v>
      </c>
      <c r="E26" s="22" t="s">
        <v>319</v>
      </c>
      <c r="F26" s="22"/>
      <c r="G26" s="22" t="s">
        <v>74</v>
      </c>
      <c r="H26" s="22" t="s">
        <v>1336</v>
      </c>
      <c r="I26" s="22"/>
      <c r="J26" s="22" t="s">
        <v>1337</v>
      </c>
      <c r="K26" s="22">
        <v>-1</v>
      </c>
      <c r="L26" s="46"/>
      <c r="M26" s="7"/>
      <c r="N26" s="46">
        <v>25</v>
      </c>
      <c r="O26" t="s">
        <v>1338</v>
      </c>
      <c r="P26" t="s">
        <v>1339</v>
      </c>
    </row>
    <row r="27" spans="1:16" ht="14.45">
      <c r="A27" s="22" t="s">
        <v>1340</v>
      </c>
      <c r="B27" s="22" t="s">
        <v>66</v>
      </c>
      <c r="C27" s="22" t="s">
        <v>107</v>
      </c>
      <c r="D27" s="22" t="s">
        <v>318</v>
      </c>
      <c r="E27" s="22" t="s">
        <v>319</v>
      </c>
      <c r="F27" s="22"/>
      <c r="G27" s="22" t="s">
        <v>74</v>
      </c>
      <c r="H27" s="22" t="s">
        <v>1341</v>
      </c>
      <c r="I27" s="22"/>
      <c r="J27" s="22" t="s">
        <v>1342</v>
      </c>
      <c r="K27" s="22">
        <v>-1</v>
      </c>
      <c r="L27" s="46"/>
      <c r="M27" s="7"/>
      <c r="N27" s="46">
        <v>26</v>
      </c>
      <c r="O27" t="s">
        <v>1343</v>
      </c>
      <c r="P27" t="s">
        <v>1344</v>
      </c>
    </row>
    <row r="28" spans="1:16" ht="14.45">
      <c r="A28" s="7" t="s">
        <v>1345</v>
      </c>
      <c r="B28" s="7" t="s">
        <v>113</v>
      </c>
      <c r="C28" s="7" t="s">
        <v>114</v>
      </c>
      <c r="D28" s="7" t="s">
        <v>1346</v>
      </c>
      <c r="E28" s="7" t="s">
        <v>325</v>
      </c>
      <c r="F28" s="7">
        <v>10</v>
      </c>
      <c r="G28" s="7" t="s">
        <v>74</v>
      </c>
      <c r="H28" s="7"/>
      <c r="I28" s="7"/>
      <c r="J28" s="7" t="s">
        <v>1347</v>
      </c>
      <c r="K28" s="7" t="s">
        <v>368</v>
      </c>
      <c r="L28" s="46"/>
      <c r="M28" t="s">
        <v>1227</v>
      </c>
      <c r="N28" s="46">
        <v>27</v>
      </c>
      <c r="O28" t="s">
        <v>1348</v>
      </c>
      <c r="P28" t="s">
        <v>1349</v>
      </c>
    </row>
    <row r="29" spans="1:16" ht="14.45">
      <c r="A29" s="7" t="s">
        <v>1350</v>
      </c>
      <c r="B29" s="7" t="s">
        <v>113</v>
      </c>
      <c r="C29" s="7" t="s">
        <v>114</v>
      </c>
      <c r="D29" s="7" t="s">
        <v>1351</v>
      </c>
      <c r="E29" s="7" t="s">
        <v>325</v>
      </c>
      <c r="F29" s="7">
        <v>10</v>
      </c>
      <c r="G29" s="7" t="s">
        <v>74</v>
      </c>
      <c r="H29" s="7"/>
      <c r="I29" s="7"/>
      <c r="J29" s="7" t="s">
        <v>1352</v>
      </c>
      <c r="K29" s="7" t="s">
        <v>327</v>
      </c>
      <c r="L29" s="46"/>
      <c r="M29" s="7"/>
      <c r="N29" s="46">
        <v>28</v>
      </c>
      <c r="O29" t="s">
        <v>1353</v>
      </c>
      <c r="P29" t="s">
        <v>1354</v>
      </c>
    </row>
    <row r="30" spans="1:16" ht="14.45">
      <c r="A30" s="7" t="s">
        <v>1355</v>
      </c>
      <c r="B30" s="7" t="s">
        <v>113</v>
      </c>
      <c r="C30" s="7" t="s">
        <v>114</v>
      </c>
      <c r="D30" s="7" t="s">
        <v>1356</v>
      </c>
      <c r="E30" s="7" t="s">
        <v>325</v>
      </c>
      <c r="F30" s="7">
        <v>10</v>
      </c>
      <c r="G30" s="7" t="s">
        <v>74</v>
      </c>
      <c r="H30" s="7"/>
      <c r="I30" s="7"/>
      <c r="J30" s="7" t="s">
        <v>1357</v>
      </c>
      <c r="K30" s="7" t="s">
        <v>368</v>
      </c>
      <c r="L30" s="46"/>
      <c r="M30" t="s">
        <v>1227</v>
      </c>
      <c r="N30" s="46">
        <v>29</v>
      </c>
      <c r="O30" t="s">
        <v>1358</v>
      </c>
      <c r="P30" t="s">
        <v>1359</v>
      </c>
    </row>
    <row r="31" spans="1:16" ht="14.45">
      <c r="A31" s="7" t="s">
        <v>1360</v>
      </c>
      <c r="B31" s="7" t="s">
        <v>113</v>
      </c>
      <c r="C31" s="7" t="s">
        <v>114</v>
      </c>
      <c r="D31" s="7" t="s">
        <v>1361</v>
      </c>
      <c r="E31" s="7" t="s">
        <v>325</v>
      </c>
      <c r="F31" s="7">
        <v>10</v>
      </c>
      <c r="G31" s="7" t="s">
        <v>74</v>
      </c>
      <c r="H31" s="7"/>
      <c r="I31" s="7"/>
      <c r="J31" s="7" t="s">
        <v>1362</v>
      </c>
      <c r="K31" s="7" t="s">
        <v>327</v>
      </c>
      <c r="L31" s="46"/>
      <c r="M31" s="7"/>
      <c r="N31" s="46">
        <v>30</v>
      </c>
      <c r="O31" t="s">
        <v>1363</v>
      </c>
      <c r="P31" t="s">
        <v>1364</v>
      </c>
    </row>
    <row r="32" spans="1:16" ht="14.45">
      <c r="A32" s="7" t="s">
        <v>1365</v>
      </c>
      <c r="B32" s="7" t="s">
        <v>113</v>
      </c>
      <c r="C32" s="7" t="s">
        <v>114</v>
      </c>
      <c r="D32" s="7" t="s">
        <v>1366</v>
      </c>
      <c r="E32" s="7" t="s">
        <v>325</v>
      </c>
      <c r="F32" s="7">
        <v>100</v>
      </c>
      <c r="G32" s="7" t="s">
        <v>74</v>
      </c>
      <c r="H32" s="7"/>
      <c r="I32" s="7"/>
      <c r="J32" s="7" t="s">
        <v>1367</v>
      </c>
      <c r="K32" s="7" t="s">
        <v>327</v>
      </c>
      <c r="L32" s="46"/>
      <c r="M32" s="7"/>
      <c r="N32" s="46">
        <v>31</v>
      </c>
      <c r="O32" t="s">
        <v>1368</v>
      </c>
      <c r="P32" t="s">
        <v>1369</v>
      </c>
    </row>
    <row r="33" spans="1:16" ht="14.45">
      <c r="A33" s="7" t="s">
        <v>1370</v>
      </c>
      <c r="B33" s="7" t="s">
        <v>113</v>
      </c>
      <c r="C33" s="7" t="s">
        <v>114</v>
      </c>
      <c r="D33" s="7" t="s">
        <v>1371</v>
      </c>
      <c r="E33" s="7" t="s">
        <v>325</v>
      </c>
      <c r="F33" s="7">
        <v>10</v>
      </c>
      <c r="G33" s="7" t="s">
        <v>74</v>
      </c>
      <c r="H33" s="7"/>
      <c r="I33" s="7"/>
      <c r="J33" s="7" t="s">
        <v>1372</v>
      </c>
      <c r="K33" s="7" t="s">
        <v>327</v>
      </c>
      <c r="L33" s="46"/>
      <c r="M33" s="7"/>
      <c r="N33" s="46">
        <v>32</v>
      </c>
      <c r="O33" t="s">
        <v>1373</v>
      </c>
      <c r="P33" t="s">
        <v>1374</v>
      </c>
    </row>
    <row r="34" spans="1:16" ht="14.45">
      <c r="A34" s="7" t="s">
        <v>1375</v>
      </c>
      <c r="B34" s="7" t="s">
        <v>113</v>
      </c>
      <c r="C34" s="7" t="s">
        <v>114</v>
      </c>
      <c r="D34" s="7" t="s">
        <v>1376</v>
      </c>
      <c r="E34" s="7" t="s">
        <v>1377</v>
      </c>
      <c r="F34" s="7"/>
      <c r="G34" s="7" t="s">
        <v>74</v>
      </c>
      <c r="H34" s="7"/>
      <c r="I34" s="7"/>
      <c r="J34" s="7" t="s">
        <v>1378</v>
      </c>
      <c r="K34" s="7" t="s">
        <v>1379</v>
      </c>
      <c r="L34" s="46"/>
      <c r="M34" s="7"/>
      <c r="N34" s="46">
        <v>33</v>
      </c>
      <c r="O34" t="s">
        <v>1380</v>
      </c>
      <c r="P34" t="s">
        <v>1381</v>
      </c>
    </row>
    <row r="35" spans="1:16" ht="14.45">
      <c r="A35" s="7" t="s">
        <v>1382</v>
      </c>
      <c r="B35" s="7" t="s">
        <v>113</v>
      </c>
      <c r="C35" s="7" t="s">
        <v>114</v>
      </c>
      <c r="D35" s="7" t="s">
        <v>1383</v>
      </c>
      <c r="E35" s="7" t="s">
        <v>351</v>
      </c>
      <c r="F35" s="7">
        <v>4000</v>
      </c>
      <c r="G35" s="7" t="s">
        <v>74</v>
      </c>
      <c r="H35" s="7" t="s">
        <v>1384</v>
      </c>
      <c r="I35" s="7"/>
      <c r="J35" s="7" t="s">
        <v>1385</v>
      </c>
      <c r="K35" s="7" t="s">
        <v>327</v>
      </c>
      <c r="L35" s="46"/>
      <c r="M35" s="7"/>
      <c r="N35" s="46">
        <v>34</v>
      </c>
      <c r="O35" t="s">
        <v>1386</v>
      </c>
      <c r="P35" t="s">
        <v>1387</v>
      </c>
    </row>
    <row r="36" spans="1:16" ht="14.45">
      <c r="A36" s="7" t="s">
        <v>1388</v>
      </c>
      <c r="B36" s="7" t="s">
        <v>113</v>
      </c>
      <c r="C36" s="7" t="s">
        <v>114</v>
      </c>
      <c r="D36" s="7" t="s">
        <v>1389</v>
      </c>
      <c r="E36" s="7" t="s">
        <v>1377</v>
      </c>
      <c r="F36" s="7"/>
      <c r="G36" s="7" t="s">
        <v>74</v>
      </c>
      <c r="H36" s="7"/>
      <c r="I36" s="7"/>
      <c r="J36" s="7" t="s">
        <v>1390</v>
      </c>
      <c r="K36" s="7" t="s">
        <v>1379</v>
      </c>
      <c r="L36" s="46"/>
      <c r="M36" s="7"/>
      <c r="N36" s="46">
        <v>35</v>
      </c>
      <c r="O36" t="s">
        <v>1391</v>
      </c>
      <c r="P36" t="s">
        <v>1392</v>
      </c>
    </row>
    <row r="37" spans="1:16" ht="14.45">
      <c r="A37" s="7" t="s">
        <v>1393</v>
      </c>
      <c r="B37" s="7" t="s">
        <v>113</v>
      </c>
      <c r="C37" s="7" t="s">
        <v>114</v>
      </c>
      <c r="D37" s="7" t="s">
        <v>1394</v>
      </c>
      <c r="E37" s="7" t="s">
        <v>1377</v>
      </c>
      <c r="F37" s="7"/>
      <c r="G37" s="7" t="s">
        <v>74</v>
      </c>
      <c r="H37" s="7"/>
      <c r="I37" s="7"/>
      <c r="J37" s="7" t="s">
        <v>1395</v>
      </c>
      <c r="K37" s="7" t="s">
        <v>1379</v>
      </c>
      <c r="L37" s="46"/>
      <c r="M37" s="7"/>
      <c r="N37" s="46">
        <v>36</v>
      </c>
      <c r="O37" t="s">
        <v>1396</v>
      </c>
      <c r="P37" t="s">
        <v>1397</v>
      </c>
    </row>
    <row r="38" spans="1:16" ht="14.45">
      <c r="A38" s="7" t="s">
        <v>1398</v>
      </c>
      <c r="B38" s="7" t="s">
        <v>113</v>
      </c>
      <c r="C38" s="7" t="s">
        <v>114</v>
      </c>
      <c r="D38" s="7" t="s">
        <v>1399</v>
      </c>
      <c r="E38" s="7" t="s">
        <v>1377</v>
      </c>
      <c r="F38" s="7"/>
      <c r="G38" s="7" t="s">
        <v>74</v>
      </c>
      <c r="H38" s="7"/>
      <c r="I38" s="7"/>
      <c r="J38" s="7" t="s">
        <v>1400</v>
      </c>
      <c r="K38" s="7" t="s">
        <v>1379</v>
      </c>
      <c r="L38" s="46"/>
      <c r="M38" s="7"/>
      <c r="N38" s="46">
        <v>37</v>
      </c>
      <c r="O38" t="s">
        <v>1401</v>
      </c>
      <c r="P38" t="s">
        <v>1402</v>
      </c>
    </row>
    <row r="39" spans="1:16" ht="14.45">
      <c r="A39" s="7" t="s">
        <v>1403</v>
      </c>
      <c r="B39" s="7" t="s">
        <v>113</v>
      </c>
      <c r="C39" s="7" t="s">
        <v>114</v>
      </c>
      <c r="D39" s="7" t="s">
        <v>1404</v>
      </c>
      <c r="E39" s="7" t="s">
        <v>1377</v>
      </c>
      <c r="F39" s="7"/>
      <c r="G39" s="7" t="s">
        <v>74</v>
      </c>
      <c r="H39" s="7"/>
      <c r="I39" s="7"/>
      <c r="J39" s="7" t="s">
        <v>1405</v>
      </c>
      <c r="K39" s="7" t="s">
        <v>1379</v>
      </c>
      <c r="L39" s="46"/>
      <c r="M39" s="7"/>
      <c r="N39" s="46">
        <v>38</v>
      </c>
      <c r="O39" t="s">
        <v>1406</v>
      </c>
      <c r="P39" t="s">
        <v>1407</v>
      </c>
    </row>
    <row r="40" spans="1:16" ht="14.45">
      <c r="A40" s="7" t="s">
        <v>1408</v>
      </c>
      <c r="B40" s="7" t="s">
        <v>113</v>
      </c>
      <c r="C40" s="7" t="s">
        <v>114</v>
      </c>
      <c r="D40" s="7" t="s">
        <v>1409</v>
      </c>
      <c r="E40" s="7" t="s">
        <v>1377</v>
      </c>
      <c r="F40" s="7"/>
      <c r="G40" s="7" t="s">
        <v>74</v>
      </c>
      <c r="H40" s="7"/>
      <c r="I40" s="7"/>
      <c r="J40" s="7" t="s">
        <v>1410</v>
      </c>
      <c r="K40" s="7" t="s">
        <v>1379</v>
      </c>
      <c r="L40" s="46"/>
      <c r="M40" s="7"/>
      <c r="N40" s="46">
        <v>39</v>
      </c>
      <c r="O40" t="s">
        <v>1411</v>
      </c>
      <c r="P40" t="s">
        <v>1412</v>
      </c>
    </row>
    <row r="41" spans="1:16" ht="14.45">
      <c r="A41" s="7" t="s">
        <v>1413</v>
      </c>
      <c r="B41" s="7" t="s">
        <v>113</v>
      </c>
      <c r="C41" s="7" t="s">
        <v>114</v>
      </c>
      <c r="D41" s="7" t="s">
        <v>1414</v>
      </c>
      <c r="E41" s="7" t="s">
        <v>1377</v>
      </c>
      <c r="F41" s="7"/>
      <c r="G41" s="7" t="s">
        <v>74</v>
      </c>
      <c r="H41" s="7"/>
      <c r="I41" s="7"/>
      <c r="J41" s="7" t="s">
        <v>1415</v>
      </c>
      <c r="K41" s="7" t="s">
        <v>1379</v>
      </c>
      <c r="L41" s="46"/>
      <c r="M41" s="7"/>
      <c r="N41" s="46">
        <v>40</v>
      </c>
      <c r="O41" t="s">
        <v>1416</v>
      </c>
      <c r="P41" t="s">
        <v>1417</v>
      </c>
    </row>
    <row r="42" spans="1:16" ht="14.45">
      <c r="A42" s="7" t="s">
        <v>1418</v>
      </c>
      <c r="B42" s="7" t="s">
        <v>113</v>
      </c>
      <c r="C42" s="7" t="s">
        <v>114</v>
      </c>
      <c r="D42" s="7" t="s">
        <v>1419</v>
      </c>
      <c r="E42" s="7" t="s">
        <v>1377</v>
      </c>
      <c r="F42" s="7"/>
      <c r="G42" s="7" t="s">
        <v>74</v>
      </c>
      <c r="H42" s="7"/>
      <c r="I42" s="7"/>
      <c r="J42" s="7" t="s">
        <v>1420</v>
      </c>
      <c r="K42" s="7" t="s">
        <v>1379</v>
      </c>
      <c r="L42" s="46"/>
      <c r="M42" s="7"/>
      <c r="N42" s="46">
        <v>41</v>
      </c>
      <c r="O42" t="s">
        <v>1421</v>
      </c>
      <c r="P42" t="s">
        <v>1422</v>
      </c>
    </row>
    <row r="43" spans="1:16" ht="14.45">
      <c r="A43" s="7" t="s">
        <v>1423</v>
      </c>
      <c r="B43" s="7" t="s">
        <v>113</v>
      </c>
      <c r="C43" s="7" t="s">
        <v>114</v>
      </c>
      <c r="D43" s="7" t="s">
        <v>1424</v>
      </c>
      <c r="E43" s="7" t="s">
        <v>1377</v>
      </c>
      <c r="F43" s="7"/>
      <c r="G43" s="7" t="s">
        <v>74</v>
      </c>
      <c r="H43" s="7"/>
      <c r="I43" s="7"/>
      <c r="J43" s="7" t="s">
        <v>1425</v>
      </c>
      <c r="K43" s="7" t="s">
        <v>1379</v>
      </c>
      <c r="L43" s="46"/>
      <c r="M43" s="7"/>
      <c r="N43" s="46">
        <v>42</v>
      </c>
      <c r="O43" t="s">
        <v>1426</v>
      </c>
      <c r="P43" t="s">
        <v>1427</v>
      </c>
    </row>
    <row r="44" spans="1:16" ht="14.45">
      <c r="A44" s="7" t="s">
        <v>1428</v>
      </c>
      <c r="B44" s="7" t="s">
        <v>113</v>
      </c>
      <c r="C44" s="7" t="s">
        <v>114</v>
      </c>
      <c r="D44" s="7" t="s">
        <v>1429</v>
      </c>
      <c r="E44" s="7" t="s">
        <v>1377</v>
      </c>
      <c r="F44" s="7"/>
      <c r="G44" s="7" t="s">
        <v>74</v>
      </c>
      <c r="H44" s="7"/>
      <c r="I44" s="7"/>
      <c r="J44" s="7" t="s">
        <v>1430</v>
      </c>
      <c r="K44" s="7" t="s">
        <v>1379</v>
      </c>
      <c r="L44" s="46"/>
      <c r="M44" s="7"/>
      <c r="N44" s="46">
        <v>43</v>
      </c>
      <c r="O44" t="s">
        <v>1431</v>
      </c>
      <c r="P44" t="s">
        <v>1432</v>
      </c>
    </row>
    <row r="45" spans="1:16" ht="14.45">
      <c r="A45" s="7" t="s">
        <v>1433</v>
      </c>
      <c r="B45" s="7" t="s">
        <v>113</v>
      </c>
      <c r="C45" s="7" t="s">
        <v>114</v>
      </c>
      <c r="D45" s="7" t="s">
        <v>1434</v>
      </c>
      <c r="E45" s="7" t="s">
        <v>1377</v>
      </c>
      <c r="F45" s="7"/>
      <c r="G45" s="7" t="s">
        <v>74</v>
      </c>
      <c r="H45" s="7"/>
      <c r="I45" s="7"/>
      <c r="J45" s="7" t="s">
        <v>1435</v>
      </c>
      <c r="K45" s="7" t="s">
        <v>1379</v>
      </c>
      <c r="L45" s="46"/>
      <c r="M45" s="7"/>
      <c r="N45" s="46">
        <v>44</v>
      </c>
      <c r="O45" t="s">
        <v>1436</v>
      </c>
      <c r="P45" t="s">
        <v>1437</v>
      </c>
    </row>
    <row r="46" spans="1:16" ht="14.45">
      <c r="A46" s="7" t="s">
        <v>1438</v>
      </c>
      <c r="B46" s="7" t="s">
        <v>113</v>
      </c>
      <c r="C46" s="7" t="s">
        <v>114</v>
      </c>
      <c r="D46" s="7" t="s">
        <v>1439</v>
      </c>
      <c r="E46" s="7" t="s">
        <v>1377</v>
      </c>
      <c r="F46" s="7"/>
      <c r="G46" s="7" t="s">
        <v>74</v>
      </c>
      <c r="H46" s="7"/>
      <c r="I46" s="7"/>
      <c r="J46" s="7" t="s">
        <v>1440</v>
      </c>
      <c r="K46" s="7" t="s">
        <v>1379</v>
      </c>
      <c r="L46" s="46"/>
      <c r="M46" s="7"/>
      <c r="N46" s="46">
        <v>45</v>
      </c>
      <c r="O46" t="s">
        <v>1441</v>
      </c>
      <c r="P46" t="s">
        <v>1442</v>
      </c>
    </row>
    <row r="47" spans="1:16" ht="14.45">
      <c r="A47" s="7" t="s">
        <v>1443</v>
      </c>
      <c r="B47" s="7" t="s">
        <v>113</v>
      </c>
      <c r="C47" s="7" t="s">
        <v>114</v>
      </c>
      <c r="D47" s="7" t="s">
        <v>1444</v>
      </c>
      <c r="E47" s="7" t="s">
        <v>1377</v>
      </c>
      <c r="F47" s="7"/>
      <c r="G47" s="7" t="s">
        <v>74</v>
      </c>
      <c r="H47" s="7"/>
      <c r="I47" s="7"/>
      <c r="J47" s="7" t="s">
        <v>1445</v>
      </c>
      <c r="K47" s="7" t="s">
        <v>1379</v>
      </c>
      <c r="L47" s="46"/>
      <c r="M47" s="7"/>
      <c r="N47" s="46">
        <v>46</v>
      </c>
      <c r="O47" t="s">
        <v>1446</v>
      </c>
      <c r="P47" t="s">
        <v>1447</v>
      </c>
    </row>
    <row r="48" spans="1:16" ht="14.45">
      <c r="A48" s="7" t="s">
        <v>1448</v>
      </c>
      <c r="B48" s="7" t="s">
        <v>113</v>
      </c>
      <c r="C48" s="7" t="s">
        <v>114</v>
      </c>
      <c r="D48" s="7" t="s">
        <v>1449</v>
      </c>
      <c r="E48" s="7" t="s">
        <v>1377</v>
      </c>
      <c r="F48" s="7"/>
      <c r="G48" s="7" t="s">
        <v>74</v>
      </c>
      <c r="H48" s="7"/>
      <c r="I48" s="7"/>
      <c r="J48" s="7" t="s">
        <v>1450</v>
      </c>
      <c r="K48" s="7" t="s">
        <v>1379</v>
      </c>
      <c r="L48" s="46"/>
      <c r="M48" s="7"/>
      <c r="N48" s="46">
        <v>47</v>
      </c>
      <c r="O48" t="s">
        <v>1451</v>
      </c>
      <c r="P48" t="s">
        <v>1452</v>
      </c>
    </row>
    <row r="49" spans="1:16" ht="14.45">
      <c r="A49" s="7" t="s">
        <v>1453</v>
      </c>
      <c r="B49" s="7" t="s">
        <v>113</v>
      </c>
      <c r="C49" s="7" t="s">
        <v>114</v>
      </c>
      <c r="D49" s="7" t="s">
        <v>1454</v>
      </c>
      <c r="E49" s="7" t="s">
        <v>1377</v>
      </c>
      <c r="F49" s="7"/>
      <c r="G49" s="7" t="s">
        <v>74</v>
      </c>
      <c r="H49" s="7"/>
      <c r="I49" s="7"/>
      <c r="J49" s="7" t="s">
        <v>1455</v>
      </c>
      <c r="K49" s="7" t="s">
        <v>1379</v>
      </c>
      <c r="L49" s="46"/>
      <c r="M49" s="7"/>
      <c r="N49" s="46">
        <v>48</v>
      </c>
      <c r="O49" t="s">
        <v>1456</v>
      </c>
      <c r="P49" t="s">
        <v>1457</v>
      </c>
    </row>
    <row r="50" spans="1:16" ht="14.45">
      <c r="A50" s="7" t="s">
        <v>1458</v>
      </c>
      <c r="B50" s="7" t="s">
        <v>113</v>
      </c>
      <c r="C50" s="7" t="s">
        <v>114</v>
      </c>
      <c r="D50" s="7" t="s">
        <v>1459</v>
      </c>
      <c r="E50" s="7" t="s">
        <v>325</v>
      </c>
      <c r="F50" s="7">
        <v>10</v>
      </c>
      <c r="G50" s="7" t="s">
        <v>74</v>
      </c>
      <c r="H50" s="7"/>
      <c r="I50" s="7"/>
      <c r="J50" s="7" t="s">
        <v>1460</v>
      </c>
      <c r="K50" s="7" t="s">
        <v>327</v>
      </c>
      <c r="L50" s="46"/>
      <c r="M50" s="7"/>
      <c r="N50" s="46">
        <v>49</v>
      </c>
      <c r="O50" t="s">
        <v>1461</v>
      </c>
      <c r="P50" t="s">
        <v>1462</v>
      </c>
    </row>
    <row r="51" spans="1:16" ht="14.45">
      <c r="A51" s="7" t="s">
        <v>1463</v>
      </c>
      <c r="B51" s="7" t="s">
        <v>113</v>
      </c>
      <c r="C51" s="7" t="s">
        <v>114</v>
      </c>
      <c r="D51" s="7" t="s">
        <v>1464</v>
      </c>
      <c r="E51" s="7" t="s">
        <v>325</v>
      </c>
      <c r="F51" s="7">
        <v>10</v>
      </c>
      <c r="G51" s="7" t="s">
        <v>74</v>
      </c>
      <c r="H51" s="7"/>
      <c r="I51" s="7"/>
      <c r="J51" s="7" t="s">
        <v>1465</v>
      </c>
      <c r="K51" s="7" t="s">
        <v>327</v>
      </c>
      <c r="L51" s="46"/>
      <c r="M51" s="7"/>
      <c r="N51" s="46">
        <v>50</v>
      </c>
      <c r="O51" t="s">
        <v>1466</v>
      </c>
      <c r="P51" t="s">
        <v>1467</v>
      </c>
    </row>
    <row r="52" spans="1:16" ht="14.45">
      <c r="A52" s="22" t="s">
        <v>377</v>
      </c>
      <c r="B52" s="22" t="s">
        <v>66</v>
      </c>
      <c r="C52" s="22" t="s">
        <v>110</v>
      </c>
      <c r="D52" s="22" t="s">
        <v>377</v>
      </c>
      <c r="E52" s="22" t="s">
        <v>319</v>
      </c>
      <c r="F52" s="22"/>
      <c r="G52" s="22" t="s">
        <v>74</v>
      </c>
      <c r="H52" s="22" t="s">
        <v>1468</v>
      </c>
      <c r="I52" s="22"/>
      <c r="J52" s="22" t="s">
        <v>1469</v>
      </c>
      <c r="K52" s="22">
        <v>-1</v>
      </c>
      <c r="L52" s="46"/>
      <c r="M52" s="71" t="s">
        <v>1470</v>
      </c>
      <c r="N52" s="46">
        <v>51</v>
      </c>
      <c r="O52" t="s">
        <v>1471</v>
      </c>
      <c r="P52" t="s">
        <v>1472</v>
      </c>
    </row>
    <row r="53" spans="1:16" ht="14.45">
      <c r="A53" s="7" t="s">
        <v>1473</v>
      </c>
      <c r="B53" s="7" t="s">
        <v>113</v>
      </c>
      <c r="C53" s="7" t="s">
        <v>114</v>
      </c>
      <c r="D53" s="7" t="s">
        <v>1474</v>
      </c>
      <c r="E53" s="7" t="s">
        <v>325</v>
      </c>
      <c r="F53" s="7">
        <v>10</v>
      </c>
      <c r="G53" s="7" t="s">
        <v>74</v>
      </c>
      <c r="H53" s="7"/>
      <c r="I53" s="7"/>
      <c r="J53" s="7" t="s">
        <v>1475</v>
      </c>
      <c r="K53" s="7" t="s">
        <v>368</v>
      </c>
      <c r="L53" s="46"/>
      <c r="M53" s="7"/>
      <c r="N53" s="46">
        <v>52</v>
      </c>
      <c r="O53" t="s">
        <v>1476</v>
      </c>
      <c r="P53" t="s">
        <v>1477</v>
      </c>
    </row>
    <row r="54" spans="1:16" ht="14.45">
      <c r="A54" s="7" t="s">
        <v>1478</v>
      </c>
      <c r="B54" s="7" t="s">
        <v>113</v>
      </c>
      <c r="C54" s="7" t="s">
        <v>114</v>
      </c>
      <c r="D54" s="7" t="s">
        <v>1479</v>
      </c>
      <c r="E54" s="7" t="s">
        <v>325</v>
      </c>
      <c r="F54" s="7">
        <v>10</v>
      </c>
      <c r="G54" s="7" t="s">
        <v>74</v>
      </c>
      <c r="H54" s="7"/>
      <c r="I54" s="7"/>
      <c r="J54" s="7" t="s">
        <v>1480</v>
      </c>
      <c r="K54" s="7" t="s">
        <v>327</v>
      </c>
      <c r="L54" s="46"/>
      <c r="M54" s="7"/>
      <c r="N54" s="46">
        <v>53</v>
      </c>
      <c r="O54" t="s">
        <v>1481</v>
      </c>
      <c r="P54" t="s">
        <v>1482</v>
      </c>
    </row>
    <row r="55" spans="1:16" ht="14.45">
      <c r="A55" s="22" t="s">
        <v>1483</v>
      </c>
      <c r="B55" s="22" t="s">
        <v>66</v>
      </c>
      <c r="C55" s="22" t="s">
        <v>158</v>
      </c>
      <c r="D55" s="22" t="s">
        <v>504</v>
      </c>
      <c r="E55" s="22" t="s">
        <v>351</v>
      </c>
      <c r="F55" s="22">
        <v>5</v>
      </c>
      <c r="G55" s="22" t="s">
        <v>74</v>
      </c>
      <c r="H55" s="22" t="s">
        <v>1484</v>
      </c>
      <c r="I55" s="22"/>
      <c r="J55" s="22" t="s">
        <v>1485</v>
      </c>
      <c r="K55" s="22" t="s">
        <v>327</v>
      </c>
      <c r="L55" s="46"/>
      <c r="M55" s="7"/>
      <c r="N55" s="46">
        <v>54</v>
      </c>
      <c r="O55" t="s">
        <v>1486</v>
      </c>
      <c r="P55" t="s">
        <v>1487</v>
      </c>
    </row>
    <row r="56" spans="1:16" ht="14.45">
      <c r="A56" s="7" t="s">
        <v>1488</v>
      </c>
      <c r="B56" s="7" t="s">
        <v>113</v>
      </c>
      <c r="C56" s="7" t="s">
        <v>114</v>
      </c>
      <c r="D56" s="7" t="s">
        <v>1489</v>
      </c>
      <c r="E56" s="7" t="s">
        <v>1377</v>
      </c>
      <c r="F56" s="7"/>
      <c r="G56" s="7" t="s">
        <v>74</v>
      </c>
      <c r="H56" s="7"/>
      <c r="I56" s="7"/>
      <c r="J56" s="7" t="s">
        <v>1490</v>
      </c>
      <c r="K56" s="7" t="s">
        <v>1379</v>
      </c>
      <c r="L56" s="46"/>
      <c r="M56" s="7"/>
      <c r="N56" s="46">
        <v>55</v>
      </c>
      <c r="O56" t="s">
        <v>1491</v>
      </c>
      <c r="P56" t="s">
        <v>1492</v>
      </c>
    </row>
    <row r="57" spans="1:16" ht="14.45">
      <c r="A57" s="7" t="s">
        <v>1493</v>
      </c>
      <c r="B57" s="7" t="s">
        <v>113</v>
      </c>
      <c r="C57" s="7" t="s">
        <v>114</v>
      </c>
      <c r="D57" s="7" t="s">
        <v>1494</v>
      </c>
      <c r="E57" s="7" t="s">
        <v>1377</v>
      </c>
      <c r="F57" s="7"/>
      <c r="G57" s="7" t="s">
        <v>74</v>
      </c>
      <c r="H57" s="7"/>
      <c r="I57" s="7"/>
      <c r="J57" s="7" t="s">
        <v>1495</v>
      </c>
      <c r="K57" s="7" t="s">
        <v>1379</v>
      </c>
      <c r="L57" s="46"/>
      <c r="M57" s="7"/>
      <c r="N57" s="46">
        <v>56</v>
      </c>
      <c r="O57" t="s">
        <v>1496</v>
      </c>
      <c r="P57" t="s">
        <v>1497</v>
      </c>
    </row>
    <row r="58" spans="1:16" ht="14.45">
      <c r="A58" s="7" t="s">
        <v>1498</v>
      </c>
      <c r="B58" s="7" t="s">
        <v>113</v>
      </c>
      <c r="C58" s="7" t="s">
        <v>114</v>
      </c>
      <c r="D58" s="7" t="s">
        <v>1499</v>
      </c>
      <c r="E58" s="7" t="s">
        <v>1377</v>
      </c>
      <c r="F58" s="7"/>
      <c r="G58" s="7" t="s">
        <v>74</v>
      </c>
      <c r="H58" s="7"/>
      <c r="I58" s="7"/>
      <c r="J58" s="7" t="s">
        <v>1500</v>
      </c>
      <c r="K58" s="7" t="s">
        <v>1379</v>
      </c>
      <c r="L58" s="46"/>
      <c r="M58" s="7"/>
      <c r="N58" s="46">
        <v>57</v>
      </c>
      <c r="O58" t="s">
        <v>1501</v>
      </c>
      <c r="P58" t="s">
        <v>1502</v>
      </c>
    </row>
    <row r="59" spans="1:16" ht="14.45">
      <c r="A59" s="7" t="s">
        <v>1503</v>
      </c>
      <c r="B59" s="7" t="s">
        <v>113</v>
      </c>
      <c r="C59" s="7" t="s">
        <v>114</v>
      </c>
      <c r="D59" s="7" t="s">
        <v>1504</v>
      </c>
      <c r="E59" s="7" t="s">
        <v>351</v>
      </c>
      <c r="F59" s="7">
        <v>10</v>
      </c>
      <c r="G59" s="7" t="s">
        <v>74</v>
      </c>
      <c r="H59" s="7"/>
      <c r="I59" s="7"/>
      <c r="J59" s="7" t="s">
        <v>1505</v>
      </c>
      <c r="K59" s="7" t="s">
        <v>327</v>
      </c>
      <c r="L59" s="46"/>
      <c r="M59" s="7"/>
      <c r="N59" s="46">
        <v>58</v>
      </c>
      <c r="O59" t="s">
        <v>1506</v>
      </c>
      <c r="P59" t="s">
        <v>1507</v>
      </c>
    </row>
    <row r="60" spans="1:16" ht="14.45">
      <c r="A60" s="7" t="s">
        <v>1508</v>
      </c>
      <c r="B60" s="7" t="s">
        <v>113</v>
      </c>
      <c r="C60" s="7" t="s">
        <v>114</v>
      </c>
      <c r="D60" s="7" t="s">
        <v>1509</v>
      </c>
      <c r="E60" s="7" t="s">
        <v>346</v>
      </c>
      <c r="F60" s="7"/>
      <c r="G60" s="7" t="s">
        <v>74</v>
      </c>
      <c r="H60" s="7"/>
      <c r="I60" s="7"/>
      <c r="J60" s="7" t="s">
        <v>1510</v>
      </c>
      <c r="K60" s="7">
        <v>-1</v>
      </c>
      <c r="L60" s="46"/>
      <c r="M60" s="7"/>
      <c r="N60" s="46">
        <v>59</v>
      </c>
      <c r="O60" t="s">
        <v>1511</v>
      </c>
      <c r="P60" t="s">
        <v>1512</v>
      </c>
    </row>
    <row r="61" spans="1:16" ht="29.1">
      <c r="A61" s="22" t="s">
        <v>656</v>
      </c>
      <c r="B61" s="22" t="s">
        <v>66</v>
      </c>
      <c r="C61" s="22" t="s">
        <v>175</v>
      </c>
      <c r="D61" s="22" t="s">
        <v>656</v>
      </c>
      <c r="E61" s="22" t="s">
        <v>319</v>
      </c>
      <c r="F61" s="22"/>
      <c r="G61" s="22" t="s">
        <v>74</v>
      </c>
      <c r="H61" s="22" t="s">
        <v>1513</v>
      </c>
      <c r="I61" s="22"/>
      <c r="J61" s="22" t="s">
        <v>1514</v>
      </c>
      <c r="K61" s="22">
        <v>-1</v>
      </c>
      <c r="M61" s="72" t="s">
        <v>1515</v>
      </c>
      <c r="N61" s="46">
        <v>60</v>
      </c>
      <c r="O61" t="s">
        <v>1516</v>
      </c>
      <c r="P61" t="s">
        <v>1517</v>
      </c>
    </row>
    <row r="62" spans="1:16" ht="14.45">
      <c r="A62" s="7" t="s">
        <v>1518</v>
      </c>
      <c r="B62" s="7" t="s">
        <v>113</v>
      </c>
      <c r="C62" s="7" t="s">
        <v>114</v>
      </c>
      <c r="D62" s="7" t="s">
        <v>1519</v>
      </c>
      <c r="E62" s="7" t="s">
        <v>351</v>
      </c>
      <c r="F62" s="7">
        <v>6</v>
      </c>
      <c r="G62" s="7" t="s">
        <v>74</v>
      </c>
      <c r="H62" s="7"/>
      <c r="I62" s="7"/>
      <c r="J62" s="7" t="s">
        <v>1520</v>
      </c>
      <c r="K62" s="7" t="s">
        <v>327</v>
      </c>
      <c r="L62" s="46"/>
      <c r="M62" s="7"/>
      <c r="N62" s="46">
        <v>61</v>
      </c>
      <c r="O62" t="s">
        <v>1521</v>
      </c>
      <c r="P62" t="s">
        <v>1522</v>
      </c>
    </row>
    <row r="63" spans="1:16" ht="14.45">
      <c r="A63" s="7" t="s">
        <v>1523</v>
      </c>
      <c r="B63" s="7" t="s">
        <v>113</v>
      </c>
      <c r="C63" s="7" t="s">
        <v>114</v>
      </c>
      <c r="D63" s="7" t="s">
        <v>1524</v>
      </c>
      <c r="E63" s="7" t="s">
        <v>351</v>
      </c>
      <c r="F63" s="7">
        <v>8</v>
      </c>
      <c r="G63" s="7" t="s">
        <v>74</v>
      </c>
      <c r="H63" s="7"/>
      <c r="I63" s="7"/>
      <c r="J63" s="7" t="s">
        <v>1525</v>
      </c>
      <c r="K63" s="7" t="s">
        <v>368</v>
      </c>
      <c r="L63" s="46"/>
      <c r="M63" s="7"/>
      <c r="N63" s="46">
        <v>62</v>
      </c>
      <c r="O63" t="s">
        <v>1526</v>
      </c>
      <c r="P63" t="s">
        <v>1527</v>
      </c>
    </row>
    <row r="64" spans="1:16" ht="14.45">
      <c r="A64" s="7" t="s">
        <v>1528</v>
      </c>
      <c r="B64" s="7" t="s">
        <v>113</v>
      </c>
      <c r="C64" s="7" t="s">
        <v>114</v>
      </c>
      <c r="D64" s="7" t="s">
        <v>1529</v>
      </c>
      <c r="E64" s="7" t="s">
        <v>1377</v>
      </c>
      <c r="F64" s="7"/>
      <c r="G64" s="7" t="s">
        <v>74</v>
      </c>
      <c r="H64" s="7"/>
      <c r="I64" s="7"/>
      <c r="J64" s="7" t="s">
        <v>1530</v>
      </c>
      <c r="K64" s="7" t="s">
        <v>1379</v>
      </c>
      <c r="L64" s="46"/>
      <c r="M64" s="7"/>
      <c r="N64" s="46">
        <v>63</v>
      </c>
      <c r="O64" t="s">
        <v>1531</v>
      </c>
      <c r="P64" t="s">
        <v>1532</v>
      </c>
    </row>
    <row r="65" spans="1:16" ht="14.45">
      <c r="A65" s="7" t="s">
        <v>1533</v>
      </c>
      <c r="B65" s="7" t="s">
        <v>113</v>
      </c>
      <c r="C65" s="7" t="s">
        <v>114</v>
      </c>
      <c r="D65" s="7" t="s">
        <v>1534</v>
      </c>
      <c r="E65" s="7" t="s">
        <v>1377</v>
      </c>
      <c r="F65" s="7"/>
      <c r="G65" s="7" t="s">
        <v>74</v>
      </c>
      <c r="H65" s="7"/>
      <c r="I65" s="7"/>
      <c r="J65" s="7" t="s">
        <v>1535</v>
      </c>
      <c r="K65" s="7" t="s">
        <v>1379</v>
      </c>
      <c r="L65" s="46"/>
      <c r="M65" s="7"/>
      <c r="N65" s="46">
        <v>64</v>
      </c>
      <c r="O65" t="s">
        <v>1536</v>
      </c>
      <c r="P65" t="s">
        <v>1537</v>
      </c>
    </row>
    <row r="66" spans="1:16" ht="14.45">
      <c r="A66" s="7" t="s">
        <v>1538</v>
      </c>
      <c r="B66" s="7" t="s">
        <v>113</v>
      </c>
      <c r="C66" s="7" t="s">
        <v>114</v>
      </c>
      <c r="D66" s="7" t="s">
        <v>1539</v>
      </c>
      <c r="E66" s="7" t="s">
        <v>325</v>
      </c>
      <c r="F66" s="7">
        <v>10</v>
      </c>
      <c r="G66" s="7" t="s">
        <v>74</v>
      </c>
      <c r="H66" s="7"/>
      <c r="I66" s="7"/>
      <c r="J66" s="7" t="s">
        <v>1540</v>
      </c>
      <c r="K66" s="7" t="s">
        <v>327</v>
      </c>
      <c r="L66" s="46"/>
      <c r="M66" s="7"/>
      <c r="N66" s="46">
        <v>65</v>
      </c>
      <c r="O66" t="s">
        <v>1541</v>
      </c>
      <c r="P66" t="s">
        <v>1542</v>
      </c>
    </row>
    <row r="67" spans="1:16" ht="14.45">
      <c r="A67" s="7" t="s">
        <v>1543</v>
      </c>
      <c r="B67" s="7" t="s">
        <v>113</v>
      </c>
      <c r="C67" s="7" t="s">
        <v>114</v>
      </c>
      <c r="D67" s="7" t="s">
        <v>1544</v>
      </c>
      <c r="E67" s="7" t="s">
        <v>325</v>
      </c>
      <c r="F67" s="7">
        <v>60</v>
      </c>
      <c r="G67" s="7" t="s">
        <v>74</v>
      </c>
      <c r="H67" s="7"/>
      <c r="I67" s="7"/>
      <c r="J67" s="7" t="s">
        <v>1545</v>
      </c>
      <c r="K67" s="7" t="s">
        <v>327</v>
      </c>
      <c r="L67" s="46"/>
      <c r="M67" s="7"/>
      <c r="N67" s="46">
        <v>66</v>
      </c>
      <c r="O67" t="s">
        <v>1546</v>
      </c>
      <c r="P67" t="s">
        <v>1547</v>
      </c>
    </row>
    <row r="68" spans="1:16" ht="14.45">
      <c r="A68" s="7" t="s">
        <v>1548</v>
      </c>
      <c r="B68" s="7" t="s">
        <v>113</v>
      </c>
      <c r="C68" s="7" t="s">
        <v>114</v>
      </c>
      <c r="D68" s="7" t="s">
        <v>1549</v>
      </c>
      <c r="E68" s="7" t="s">
        <v>325</v>
      </c>
      <c r="F68" s="7">
        <v>10</v>
      </c>
      <c r="G68" s="7" t="s">
        <v>74</v>
      </c>
      <c r="H68" s="7"/>
      <c r="I68" s="7"/>
      <c r="J68" s="7" t="s">
        <v>1550</v>
      </c>
      <c r="K68" s="7" t="s">
        <v>327</v>
      </c>
      <c r="L68" s="46"/>
      <c r="M68" s="7"/>
      <c r="N68" s="46">
        <v>67</v>
      </c>
      <c r="O68" t="s">
        <v>1551</v>
      </c>
      <c r="P68" t="s">
        <v>1552</v>
      </c>
    </row>
    <row r="69" spans="1:16" ht="14.45">
      <c r="A69" s="7" t="s">
        <v>1553</v>
      </c>
      <c r="B69" s="7" t="s">
        <v>113</v>
      </c>
      <c r="C69" s="7" t="s">
        <v>114</v>
      </c>
      <c r="D69" s="7" t="s">
        <v>1554</v>
      </c>
      <c r="E69" s="7" t="s">
        <v>325</v>
      </c>
      <c r="F69" s="7">
        <v>60</v>
      </c>
      <c r="G69" s="7" t="s">
        <v>74</v>
      </c>
      <c r="H69" s="7"/>
      <c r="I69" s="7"/>
      <c r="J69" s="7" t="s">
        <v>1555</v>
      </c>
      <c r="K69" s="7" t="s">
        <v>327</v>
      </c>
      <c r="L69" s="46"/>
      <c r="M69" s="7"/>
      <c r="N69" s="46">
        <v>68</v>
      </c>
      <c r="O69" t="s">
        <v>1556</v>
      </c>
      <c r="P69" t="s">
        <v>1557</v>
      </c>
    </row>
    <row r="70" spans="1:16" ht="14.45">
      <c r="A70" s="7" t="s">
        <v>1558</v>
      </c>
      <c r="B70" s="7" t="s">
        <v>113</v>
      </c>
      <c r="C70" s="7" t="s">
        <v>114</v>
      </c>
      <c r="D70" s="7" t="s">
        <v>1559</v>
      </c>
      <c r="E70" s="7" t="s">
        <v>325</v>
      </c>
      <c r="F70" s="7">
        <v>10</v>
      </c>
      <c r="G70" s="7" t="s">
        <v>74</v>
      </c>
      <c r="H70" s="7"/>
      <c r="I70" s="7"/>
      <c r="J70" s="7" t="s">
        <v>1560</v>
      </c>
      <c r="K70" s="7" t="s">
        <v>327</v>
      </c>
      <c r="L70" s="46"/>
      <c r="M70" s="7" t="s">
        <v>1227</v>
      </c>
      <c r="N70" s="46">
        <v>69</v>
      </c>
      <c r="O70" t="s">
        <v>1561</v>
      </c>
      <c r="P70" t="s">
        <v>1562</v>
      </c>
    </row>
    <row r="71" spans="1:16" ht="14.45">
      <c r="A71" s="7" t="s">
        <v>1563</v>
      </c>
      <c r="B71" s="7" t="s">
        <v>113</v>
      </c>
      <c r="C71" s="7" t="s">
        <v>114</v>
      </c>
      <c r="D71" s="7" t="s">
        <v>1564</v>
      </c>
      <c r="E71" s="7" t="s">
        <v>325</v>
      </c>
      <c r="F71" s="7">
        <v>60</v>
      </c>
      <c r="G71" s="7" t="s">
        <v>74</v>
      </c>
      <c r="H71" s="7"/>
      <c r="I71" s="7"/>
      <c r="J71" s="7" t="s">
        <v>1565</v>
      </c>
      <c r="K71" s="7" t="s">
        <v>327</v>
      </c>
      <c r="L71" s="46"/>
      <c r="M71" s="7"/>
      <c r="N71" s="46">
        <v>70</v>
      </c>
      <c r="O71" t="s">
        <v>1566</v>
      </c>
      <c r="P71" t="s">
        <v>1567</v>
      </c>
    </row>
    <row r="72" spans="1:16" ht="14.45">
      <c r="A72" s="7" t="s">
        <v>1568</v>
      </c>
      <c r="B72" s="7" t="s">
        <v>113</v>
      </c>
      <c r="C72" s="7" t="s">
        <v>114</v>
      </c>
      <c r="D72" s="7" t="s">
        <v>1569</v>
      </c>
      <c r="E72" s="7" t="s">
        <v>325</v>
      </c>
      <c r="F72" s="7">
        <v>10</v>
      </c>
      <c r="G72" s="7" t="s">
        <v>74</v>
      </c>
      <c r="H72" s="7"/>
      <c r="I72" s="7"/>
      <c r="J72" s="7" t="s">
        <v>1570</v>
      </c>
      <c r="K72" s="7" t="s">
        <v>327</v>
      </c>
      <c r="L72" s="46"/>
      <c r="M72" s="7"/>
      <c r="N72" s="46">
        <v>71</v>
      </c>
      <c r="O72" t="s">
        <v>1571</v>
      </c>
      <c r="P72" t="s">
        <v>1572</v>
      </c>
    </row>
    <row r="73" spans="1:16" ht="14.45">
      <c r="A73" s="7" t="s">
        <v>1573</v>
      </c>
      <c r="B73" s="7" t="s">
        <v>113</v>
      </c>
      <c r="C73" s="7" t="s">
        <v>114</v>
      </c>
      <c r="D73" s="7" t="s">
        <v>1574</v>
      </c>
      <c r="E73" s="7" t="s">
        <v>325</v>
      </c>
      <c r="F73" s="7">
        <v>60</v>
      </c>
      <c r="G73" s="7" t="s">
        <v>74</v>
      </c>
      <c r="H73" s="7"/>
      <c r="I73" s="7"/>
      <c r="J73" s="7" t="s">
        <v>1575</v>
      </c>
      <c r="K73" s="7" t="s">
        <v>327</v>
      </c>
      <c r="L73" s="46"/>
      <c r="M73" s="7"/>
      <c r="N73" s="46">
        <v>72</v>
      </c>
      <c r="O73" t="s">
        <v>1576</v>
      </c>
      <c r="P73" t="s">
        <v>1577</v>
      </c>
    </row>
    <row r="74" spans="1:16" ht="29.1">
      <c r="A74" s="7" t="s">
        <v>1578</v>
      </c>
      <c r="B74" s="7" t="s">
        <v>113</v>
      </c>
      <c r="C74" s="7" t="s">
        <v>114</v>
      </c>
      <c r="D74" s="7" t="s">
        <v>1579</v>
      </c>
      <c r="E74" s="7" t="s">
        <v>325</v>
      </c>
      <c r="F74" s="7">
        <v>20</v>
      </c>
      <c r="G74" s="7" t="s">
        <v>74</v>
      </c>
      <c r="H74" s="7"/>
      <c r="I74" s="7"/>
      <c r="J74" s="7" t="s">
        <v>1580</v>
      </c>
      <c r="K74" s="7" t="s">
        <v>327</v>
      </c>
      <c r="M74" s="72" t="s">
        <v>1581</v>
      </c>
      <c r="N74" s="46">
        <v>73</v>
      </c>
      <c r="O74" t="s">
        <v>1582</v>
      </c>
      <c r="P74" t="s">
        <v>1583</v>
      </c>
    </row>
    <row r="75" spans="1:16" ht="14.45">
      <c r="A75" s="7" t="s">
        <v>1584</v>
      </c>
      <c r="B75" s="7" t="s">
        <v>113</v>
      </c>
      <c r="C75" s="7" t="s">
        <v>114</v>
      </c>
      <c r="D75" s="7" t="s">
        <v>1585</v>
      </c>
      <c r="E75" s="7" t="s">
        <v>325</v>
      </c>
      <c r="F75" s="7" t="s">
        <v>1586</v>
      </c>
      <c r="G75" s="7" t="s">
        <v>74</v>
      </c>
      <c r="H75" s="7"/>
      <c r="I75" s="7"/>
      <c r="J75" s="7" t="s">
        <v>1587</v>
      </c>
      <c r="K75" s="7" t="s">
        <v>327</v>
      </c>
      <c r="L75" s="46"/>
      <c r="M75" s="7"/>
      <c r="N75" s="46">
        <v>74</v>
      </c>
      <c r="O75" t="s">
        <v>1588</v>
      </c>
      <c r="P75" t="s">
        <v>1589</v>
      </c>
    </row>
    <row r="76" spans="1:16" ht="14.45">
      <c r="A76" s="7" t="s">
        <v>1590</v>
      </c>
      <c r="B76" s="7" t="s">
        <v>113</v>
      </c>
      <c r="C76" s="7" t="s">
        <v>114</v>
      </c>
      <c r="D76" s="7" t="s">
        <v>1591</v>
      </c>
      <c r="E76" s="7" t="s">
        <v>367</v>
      </c>
      <c r="F76" s="7"/>
      <c r="G76" s="7" t="s">
        <v>74</v>
      </c>
      <c r="H76" s="7"/>
      <c r="I76" s="7"/>
      <c r="J76" s="7" t="s">
        <v>1592</v>
      </c>
      <c r="K76" s="7" t="s">
        <v>368</v>
      </c>
      <c r="L76" s="46"/>
      <c r="M76" s="7" t="s">
        <v>1593</v>
      </c>
      <c r="N76" s="46">
        <v>75</v>
      </c>
      <c r="O76" t="s">
        <v>1594</v>
      </c>
      <c r="P76" t="s">
        <v>1595</v>
      </c>
    </row>
    <row r="77" spans="1:16" ht="14.45">
      <c r="A77" s="8" t="s">
        <v>350</v>
      </c>
      <c r="B77" s="8" t="s">
        <v>320</v>
      </c>
      <c r="C77" s="8"/>
      <c r="D77" s="8"/>
      <c r="E77" s="8" t="s">
        <v>351</v>
      </c>
      <c r="F77" s="8">
        <v>100</v>
      </c>
      <c r="G77" s="8" t="s">
        <v>98</v>
      </c>
      <c r="H77" s="8"/>
      <c r="I77" s="8"/>
      <c r="J77" s="8"/>
      <c r="K77" s="8" t="s">
        <v>327</v>
      </c>
      <c r="L77" s="46"/>
      <c r="M77" s="7"/>
      <c r="N77" s="46">
        <v>76</v>
      </c>
      <c r="O77" t="s">
        <v>1596</v>
      </c>
      <c r="P77" t="s">
        <v>1597</v>
      </c>
    </row>
    <row r="78" spans="1:16" ht="14.45">
      <c r="A78" s="8" t="s">
        <v>354</v>
      </c>
      <c r="B78" s="8" t="s">
        <v>320</v>
      </c>
      <c r="C78" s="8"/>
      <c r="D78" s="8"/>
      <c r="E78" s="8" t="s">
        <v>351</v>
      </c>
      <c r="F78" s="8">
        <v>100</v>
      </c>
      <c r="G78" s="8" t="s">
        <v>98</v>
      </c>
      <c r="H78" s="8"/>
      <c r="I78" s="8"/>
      <c r="J78" s="8"/>
      <c r="K78" s="8" t="s">
        <v>327</v>
      </c>
      <c r="L78" s="46"/>
      <c r="M78" s="7"/>
      <c r="N78" s="46">
        <v>77</v>
      </c>
      <c r="O78" t="s">
        <v>1598</v>
      </c>
      <c r="P78" t="s">
        <v>1599</v>
      </c>
    </row>
    <row r="79" spans="1:16" ht="14.45">
      <c r="A79" s="8" t="s">
        <v>357</v>
      </c>
      <c r="B79" s="8" t="s">
        <v>320</v>
      </c>
      <c r="C79" s="8"/>
      <c r="D79" s="8"/>
      <c r="E79" s="8" t="s">
        <v>351</v>
      </c>
      <c r="F79" s="8">
        <v>100</v>
      </c>
      <c r="G79" s="8" t="s">
        <v>98</v>
      </c>
      <c r="H79" s="8"/>
      <c r="I79" s="8"/>
      <c r="J79" s="8"/>
      <c r="K79" s="8" t="s">
        <v>327</v>
      </c>
      <c r="L79" s="46"/>
      <c r="M79" s="7"/>
      <c r="N79" s="46">
        <v>78</v>
      </c>
      <c r="O79" t="s">
        <v>1600</v>
      </c>
      <c r="P79" t="s">
        <v>1601</v>
      </c>
    </row>
    <row r="80" spans="1:16" ht="14.45">
      <c r="A80" s="8" t="s">
        <v>360</v>
      </c>
      <c r="B80" s="8" t="s">
        <v>320</v>
      </c>
      <c r="C80" s="8"/>
      <c r="D80" s="8"/>
      <c r="E80" s="8" t="s">
        <v>351</v>
      </c>
      <c r="F80" s="8">
        <v>100</v>
      </c>
      <c r="G80" s="8" t="s">
        <v>98</v>
      </c>
      <c r="H80" s="8"/>
      <c r="I80" s="8"/>
      <c r="J80" s="8"/>
      <c r="K80" s="8" t="s">
        <v>327</v>
      </c>
      <c r="L80" s="46"/>
      <c r="M80" s="7"/>
      <c r="N80" s="46">
        <v>79</v>
      </c>
      <c r="O80" t="s">
        <v>1602</v>
      </c>
      <c r="P80" t="s">
        <v>1603</v>
      </c>
    </row>
    <row r="81" spans="1:16" ht="14.45">
      <c r="A81" s="8" t="s">
        <v>363</v>
      </c>
      <c r="B81" s="8" t="s">
        <v>320</v>
      </c>
      <c r="C81" s="8"/>
      <c r="D81" s="8"/>
      <c r="E81" s="8" t="s">
        <v>351</v>
      </c>
      <c r="F81" s="8">
        <v>100</v>
      </c>
      <c r="G81" s="8" t="s">
        <v>98</v>
      </c>
      <c r="H81" s="8"/>
      <c r="I81" s="8"/>
      <c r="J81" s="8"/>
      <c r="K81" s="8" t="s">
        <v>327</v>
      </c>
      <c r="L81" s="46"/>
      <c r="M81" s="7"/>
      <c r="N81" s="46">
        <v>80</v>
      </c>
      <c r="O81" t="s">
        <v>1604</v>
      </c>
      <c r="P81" t="s">
        <v>1605</v>
      </c>
    </row>
    <row r="82" spans="1:16" ht="14.45">
      <c r="A82" s="8" t="s">
        <v>366</v>
      </c>
      <c r="B82" s="8" t="s">
        <v>320</v>
      </c>
      <c r="C82" s="8"/>
      <c r="D82" s="8"/>
      <c r="E82" s="8" t="s">
        <v>367</v>
      </c>
      <c r="F82" s="8"/>
      <c r="G82" s="8" t="s">
        <v>98</v>
      </c>
      <c r="H82" s="8"/>
      <c r="I82" s="8"/>
      <c r="J82" s="8"/>
      <c r="K82" s="8" t="s">
        <v>368</v>
      </c>
      <c r="L82" s="46"/>
      <c r="M82" s="7"/>
      <c r="N82" s="46">
        <v>81</v>
      </c>
      <c r="O82" t="s">
        <v>1606</v>
      </c>
      <c r="P82" t="s">
        <v>1607</v>
      </c>
    </row>
    <row r="83" spans="1:16" ht="14.45">
      <c r="A83" s="8" t="s">
        <v>371</v>
      </c>
      <c r="B83" s="8" t="s">
        <v>320</v>
      </c>
      <c r="C83" s="8"/>
      <c r="D83" s="8"/>
      <c r="E83" s="8" t="s">
        <v>367</v>
      </c>
      <c r="F83" s="8"/>
      <c r="G83" s="8" t="s">
        <v>98</v>
      </c>
      <c r="H83" s="8"/>
      <c r="I83" s="8"/>
      <c r="J83" s="8"/>
      <c r="K83" s="8" t="s">
        <v>368</v>
      </c>
      <c r="L83" s="46"/>
      <c r="M83" s="7"/>
      <c r="N83" s="46">
        <v>82</v>
      </c>
      <c r="O83" t="s">
        <v>1608</v>
      </c>
      <c r="P83" t="s">
        <v>1609</v>
      </c>
    </row>
    <row r="84" spans="1:16" ht="14.45">
      <c r="A84" s="8" t="s">
        <v>374</v>
      </c>
      <c r="B84" s="8" t="s">
        <v>320</v>
      </c>
      <c r="C84" s="8"/>
      <c r="D84" s="8"/>
      <c r="E84" s="8" t="s">
        <v>351</v>
      </c>
      <c r="F84" s="8">
        <v>100</v>
      </c>
      <c r="G84" s="8" t="s">
        <v>98</v>
      </c>
      <c r="H84" s="8"/>
      <c r="I84" s="8"/>
      <c r="J84" s="8"/>
      <c r="K84" s="8" t="s">
        <v>327</v>
      </c>
      <c r="L84" s="46"/>
      <c r="M84" s="7"/>
      <c r="N84" s="46">
        <v>83</v>
      </c>
      <c r="O84" t="s">
        <v>1610</v>
      </c>
      <c r="P84" t="s">
        <v>1611</v>
      </c>
    </row>
    <row r="86" spans="1:16" ht="14.45">
      <c r="A86" s="21" t="s">
        <v>90</v>
      </c>
    </row>
    <row r="87" spans="1:16" ht="14.45">
      <c r="A87" s="35" t="s">
        <v>1612</v>
      </c>
    </row>
    <row r="88" spans="1:16" ht="14.45">
      <c r="A88" s="36" t="s">
        <v>1613</v>
      </c>
      <c r="M88" t="str">
        <f ca="1">UPPER(_xlfn.CONCAT(DEC2HEX(RANDBETWEEN(0,4294967295),8),"-",DEC2HEX(RANDBETWEEN(0,65535),4),"-",DEC2HEX(RANDBETWEEN(0,65535),4),"-",DEC2HEX(RANDBETWEEN(0,65535),4),"-",DEC2HEX(RANDBETWEEN(0,4294967295),8),DEC2HEX(RANDBETWEEN(0,65535),4)))</f>
        <v>035E94FF-7B7B-22DE-AF06-1561C35F9B2B</v>
      </c>
      <c r="N88" t="str">
        <f ca="1">M88</f>
        <v>035E94FF-7B7B-22DE-AF06-1561C35F9B2B</v>
      </c>
    </row>
    <row r="89" spans="1:16" ht="15" customHeight="1">
      <c r="A89" t="s">
        <v>1614</v>
      </c>
    </row>
    <row r="90" spans="1:16" ht="15" customHeight="1">
      <c r="A90" t="s">
        <v>1615</v>
      </c>
    </row>
    <row r="91" spans="1:16" ht="14.45">
      <c r="A91" t="s">
        <v>1616</v>
      </c>
    </row>
    <row r="92" spans="1:16" ht="14.45">
      <c r="A92" t="s">
        <v>1617</v>
      </c>
    </row>
    <row r="93" spans="1:16" ht="14.45">
      <c r="A93" t="s">
        <v>1618</v>
      </c>
    </row>
    <row r="95" spans="1:16" ht="15" customHeight="1">
      <c r="A95" t="s">
        <v>1619</v>
      </c>
    </row>
    <row r="106" spans="1:1" ht="15" customHeight="1">
      <c r="A106" t="s">
        <v>1620</v>
      </c>
    </row>
  </sheetData>
  <conditionalFormatting sqref="O33:O77">
    <cfRule type="duplicateValues" dxfId="222" priority="3"/>
  </conditionalFormatting>
  <conditionalFormatting sqref="O81:O84">
    <cfRule type="duplicateValues" dxfId="221" priority="2"/>
  </conditionalFormatting>
  <conditionalFormatting sqref="O5:O29 O3">
    <cfRule type="duplicateValues" dxfId="220" priority="359"/>
  </conditionalFormatting>
  <conditionalFormatting sqref="O5:O84 O3">
    <cfRule type="duplicateValues" dxfId="219" priority="361"/>
  </conditionalFormatting>
  <hyperlinks>
    <hyperlink ref="A88" r:id="rId1" xr:uid="{D32571DD-70FC-4DF5-8A22-F532313134D8}"/>
  </hyperlinks>
  <pageMargins left="0.7" right="0.7" top="0.75" bottom="0.75" header="0.3" footer="0.3"/>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50D-8A33-478D-BF18-5E6F96EF7A6E}">
  <sheetPr codeName="Sheet49">
    <tabColor rgb="FF7030A0"/>
  </sheetPr>
  <dimension ref="A1:P34"/>
  <sheetViews>
    <sheetView workbookViewId="0"/>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4.42578125" bestFit="1" customWidth="1"/>
    <col min="9" max="9" width="20.7109375" customWidth="1"/>
    <col min="10" max="10" width="59.85546875" customWidth="1"/>
    <col min="11" max="11" width="20.7109375" customWidth="1"/>
    <col min="12" max="12" width="15.7109375" bestFit="1" customWidth="1"/>
    <col min="13" max="13" width="39.28515625" customWidth="1"/>
    <col min="14" max="14" width="17.28515625" bestFit="1" customWidth="1"/>
    <col min="15" max="15" width="38.28515625" bestFit="1" customWidth="1"/>
    <col min="16" max="16" width="41.140625" bestFit="1" customWidth="1"/>
  </cols>
  <sheetData>
    <row r="1" spans="1:16" ht="60" customHeight="1">
      <c r="A1" s="1" t="s">
        <v>123</v>
      </c>
      <c r="D1" s="2" t="s">
        <v>297</v>
      </c>
      <c r="I1" s="3" t="s">
        <v>298</v>
      </c>
      <c r="J1" s="4" t="s">
        <v>299</v>
      </c>
      <c r="K1" s="19" t="s">
        <v>300</v>
      </c>
      <c r="L1" s="23" t="s">
        <v>301</v>
      </c>
    </row>
    <row r="2" spans="1:16">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c r="A3" s="9" t="s">
        <v>1230</v>
      </c>
      <c r="B3" s="9" t="s">
        <v>113</v>
      </c>
      <c r="C3" s="9" t="s">
        <v>124</v>
      </c>
      <c r="D3" s="9" t="s">
        <v>1621</v>
      </c>
      <c r="E3" s="9" t="s">
        <v>351</v>
      </c>
      <c r="F3" s="9">
        <v>10</v>
      </c>
      <c r="G3" s="9" t="s">
        <v>98</v>
      </c>
      <c r="H3" s="9"/>
      <c r="I3" s="9"/>
      <c r="J3" s="9" t="s">
        <v>1622</v>
      </c>
      <c r="K3" s="9" t="s">
        <v>327</v>
      </c>
      <c r="L3" s="46"/>
      <c r="M3" s="7" t="s">
        <v>1623</v>
      </c>
      <c r="N3" s="46">
        <v>2</v>
      </c>
      <c r="O3" s="76" t="s">
        <v>1624</v>
      </c>
      <c r="P3" s="76" t="s">
        <v>1625</v>
      </c>
    </row>
    <row r="4" spans="1:16">
      <c r="A4" s="9" t="s">
        <v>487</v>
      </c>
      <c r="B4" s="9" t="s">
        <v>113</v>
      </c>
      <c r="C4" s="9" t="s">
        <v>124</v>
      </c>
      <c r="D4" s="9"/>
      <c r="E4" s="9" t="s">
        <v>325</v>
      </c>
      <c r="F4" s="9">
        <v>10</v>
      </c>
      <c r="G4" s="9" t="s">
        <v>98</v>
      </c>
      <c r="H4" s="9"/>
      <c r="I4" s="9"/>
      <c r="J4" s="9" t="s">
        <v>1626</v>
      </c>
      <c r="K4" s="34" t="s">
        <v>327</v>
      </c>
      <c r="L4" s="46"/>
      <c r="M4" s="7" t="s">
        <v>1627</v>
      </c>
      <c r="N4" s="46">
        <v>3</v>
      </c>
      <c r="O4" s="76" t="s">
        <v>1628</v>
      </c>
      <c r="P4" s="76" t="s">
        <v>1629</v>
      </c>
    </row>
    <row r="5" spans="1:16">
      <c r="A5" s="22" t="s">
        <v>1235</v>
      </c>
      <c r="B5" s="22" t="s">
        <v>60</v>
      </c>
      <c r="C5" s="22" t="s">
        <v>124</v>
      </c>
      <c r="D5" s="22" t="s">
        <v>1235</v>
      </c>
      <c r="E5" s="22" t="s">
        <v>319</v>
      </c>
      <c r="F5" s="22"/>
      <c r="G5" s="22" t="s">
        <v>98</v>
      </c>
      <c r="H5" s="22" t="s">
        <v>1630</v>
      </c>
      <c r="I5" s="22"/>
      <c r="J5" s="22" t="s">
        <v>1622</v>
      </c>
      <c r="K5" s="22">
        <v>-1</v>
      </c>
      <c r="L5" s="46"/>
      <c r="M5" s="7"/>
      <c r="N5" s="46">
        <v>4</v>
      </c>
      <c r="O5" s="76" t="s">
        <v>1631</v>
      </c>
      <c r="P5" s="76" t="s">
        <v>1632</v>
      </c>
    </row>
    <row r="6" spans="1:16">
      <c r="A6" s="7" t="s">
        <v>1633</v>
      </c>
      <c r="B6" s="7" t="s">
        <v>113</v>
      </c>
      <c r="C6" s="7" t="s">
        <v>124</v>
      </c>
      <c r="D6" s="7" t="s">
        <v>1634</v>
      </c>
      <c r="E6" s="7" t="s">
        <v>1635</v>
      </c>
      <c r="F6" s="7" t="s">
        <v>1636</v>
      </c>
      <c r="G6" s="7" t="s">
        <v>74</v>
      </c>
      <c r="H6" s="7"/>
      <c r="I6" s="7"/>
      <c r="J6" s="7" t="s">
        <v>1637</v>
      </c>
      <c r="K6" s="7" t="s">
        <v>1379</v>
      </c>
      <c r="L6" s="46"/>
      <c r="M6" s="7"/>
      <c r="N6" s="46">
        <v>5</v>
      </c>
      <c r="O6" s="76" t="s">
        <v>1638</v>
      </c>
      <c r="P6" s="76" t="s">
        <v>1639</v>
      </c>
    </row>
    <row r="7" spans="1:16">
      <c r="A7" s="7" t="s">
        <v>1640</v>
      </c>
      <c r="B7" s="7" t="s">
        <v>113</v>
      </c>
      <c r="C7" s="7" t="s">
        <v>124</v>
      </c>
      <c r="D7" s="7" t="s">
        <v>1641</v>
      </c>
      <c r="E7" s="7" t="s">
        <v>367</v>
      </c>
      <c r="F7" s="7"/>
      <c r="G7" s="7" t="s">
        <v>74</v>
      </c>
      <c r="H7" s="7"/>
      <c r="I7" s="7"/>
      <c r="J7" s="7" t="s">
        <v>1642</v>
      </c>
      <c r="K7" s="31" t="s">
        <v>368</v>
      </c>
      <c r="L7" s="46"/>
      <c r="M7" s="7"/>
      <c r="N7" s="46">
        <v>6</v>
      </c>
      <c r="O7" s="76" t="s">
        <v>1643</v>
      </c>
      <c r="P7" s="76" t="s">
        <v>1644</v>
      </c>
    </row>
    <row r="8" spans="1:16">
      <c r="A8" s="7" t="s">
        <v>1645</v>
      </c>
      <c r="B8" s="7" t="s">
        <v>113</v>
      </c>
      <c r="C8" s="7" t="s">
        <v>124</v>
      </c>
      <c r="D8" s="7" t="s">
        <v>1646</v>
      </c>
      <c r="E8" s="7" t="s">
        <v>1635</v>
      </c>
      <c r="F8" s="7" t="s">
        <v>1636</v>
      </c>
      <c r="G8" s="7" t="s">
        <v>74</v>
      </c>
      <c r="H8" s="7"/>
      <c r="I8" s="7"/>
      <c r="J8" s="7" t="s">
        <v>1647</v>
      </c>
      <c r="K8" s="7" t="s">
        <v>1379</v>
      </c>
      <c r="L8" s="46"/>
      <c r="M8" s="7"/>
      <c r="N8" s="46">
        <v>7</v>
      </c>
      <c r="O8" s="76" t="s">
        <v>1648</v>
      </c>
      <c r="P8" s="76" t="s">
        <v>1649</v>
      </c>
    </row>
    <row r="9" spans="1:16">
      <c r="A9" s="7" t="s">
        <v>1650</v>
      </c>
      <c r="B9" s="7" t="s">
        <v>113</v>
      </c>
      <c r="C9" s="7" t="s">
        <v>124</v>
      </c>
      <c r="D9" s="7" t="s">
        <v>1651</v>
      </c>
      <c r="E9" s="7" t="s">
        <v>367</v>
      </c>
      <c r="F9" s="7"/>
      <c r="G9" s="7" t="s">
        <v>74</v>
      </c>
      <c r="H9" s="7"/>
      <c r="I9" s="7"/>
      <c r="J9" s="7" t="s">
        <v>1652</v>
      </c>
      <c r="K9" s="31" t="s">
        <v>368</v>
      </c>
      <c r="L9" s="46"/>
      <c r="M9" s="7"/>
      <c r="N9" s="46">
        <v>8</v>
      </c>
      <c r="O9" s="76" t="s">
        <v>1653</v>
      </c>
      <c r="P9" s="76" t="s">
        <v>1654</v>
      </c>
    </row>
    <row r="10" spans="1:16">
      <c r="A10" s="7" t="s">
        <v>1655</v>
      </c>
      <c r="B10" s="7" t="s">
        <v>113</v>
      </c>
      <c r="C10" s="7" t="s">
        <v>124</v>
      </c>
      <c r="D10" s="7" t="s">
        <v>1656</v>
      </c>
      <c r="E10" s="7" t="s">
        <v>1635</v>
      </c>
      <c r="F10" s="7" t="s">
        <v>1636</v>
      </c>
      <c r="G10" s="7" t="s">
        <v>74</v>
      </c>
      <c r="H10" s="7"/>
      <c r="I10" s="7"/>
      <c r="J10" s="7" t="s">
        <v>1657</v>
      </c>
      <c r="K10" s="7" t="s">
        <v>1379</v>
      </c>
      <c r="L10" s="46"/>
      <c r="M10" s="7"/>
      <c r="N10" s="46">
        <v>9</v>
      </c>
      <c r="O10" s="76" t="s">
        <v>1658</v>
      </c>
      <c r="P10" s="76" t="s">
        <v>1659</v>
      </c>
    </row>
    <row r="11" spans="1:16">
      <c r="A11" s="7" t="s">
        <v>1660</v>
      </c>
      <c r="B11" s="7" t="s">
        <v>113</v>
      </c>
      <c r="C11" s="7" t="s">
        <v>124</v>
      </c>
      <c r="D11" s="7" t="s">
        <v>1661</v>
      </c>
      <c r="E11" s="7" t="s">
        <v>1635</v>
      </c>
      <c r="F11" s="7" t="s">
        <v>1636</v>
      </c>
      <c r="G11" s="7" t="s">
        <v>74</v>
      </c>
      <c r="H11" s="7"/>
      <c r="I11" s="7"/>
      <c r="J11" s="7" t="s">
        <v>1662</v>
      </c>
      <c r="K11" s="7" t="s">
        <v>1379</v>
      </c>
      <c r="L11" s="46"/>
      <c r="M11" s="7"/>
      <c r="N11" s="46">
        <v>10</v>
      </c>
      <c r="O11" s="76" t="s">
        <v>1663</v>
      </c>
      <c r="P11" s="76" t="s">
        <v>1664</v>
      </c>
    </row>
    <row r="12" spans="1:16">
      <c r="A12" s="7" t="s">
        <v>1665</v>
      </c>
      <c r="B12" s="7" t="s">
        <v>113</v>
      </c>
      <c r="C12" s="7" t="s">
        <v>124</v>
      </c>
      <c r="D12" s="7" t="s">
        <v>1666</v>
      </c>
      <c r="E12" s="7" t="s">
        <v>1635</v>
      </c>
      <c r="F12" s="7" t="s">
        <v>1636</v>
      </c>
      <c r="G12" s="7" t="s">
        <v>74</v>
      </c>
      <c r="H12" s="7"/>
      <c r="I12" s="7"/>
      <c r="J12" s="7" t="s">
        <v>1667</v>
      </c>
      <c r="K12" s="7" t="s">
        <v>1379</v>
      </c>
      <c r="L12" s="46"/>
      <c r="M12" s="7"/>
      <c r="N12" s="46">
        <v>11</v>
      </c>
      <c r="O12" s="76" t="s">
        <v>1668</v>
      </c>
      <c r="P12" s="76" t="s">
        <v>1669</v>
      </c>
    </row>
    <row r="13" spans="1:16">
      <c r="A13" s="22" t="s">
        <v>1670</v>
      </c>
      <c r="B13" s="22" t="s">
        <v>66</v>
      </c>
      <c r="C13" s="22" t="s">
        <v>158</v>
      </c>
      <c r="D13" s="22" t="s">
        <v>504</v>
      </c>
      <c r="E13" s="22" t="s">
        <v>351</v>
      </c>
      <c r="F13" s="22">
        <v>5</v>
      </c>
      <c r="G13" s="22" t="s">
        <v>98</v>
      </c>
      <c r="H13" s="22" t="s">
        <v>1671</v>
      </c>
      <c r="I13" s="22"/>
      <c r="J13" s="22" t="s">
        <v>1672</v>
      </c>
      <c r="K13" s="69" t="s">
        <v>327</v>
      </c>
      <c r="L13" s="46"/>
      <c r="M13" s="7"/>
      <c r="N13" s="46">
        <v>12</v>
      </c>
      <c r="O13" s="76" t="s">
        <v>1673</v>
      </c>
      <c r="P13" s="76" t="s">
        <v>1674</v>
      </c>
    </row>
    <row r="14" spans="1:16">
      <c r="A14" s="7" t="s">
        <v>1590</v>
      </c>
      <c r="B14" s="7" t="s">
        <v>113</v>
      </c>
      <c r="C14" s="7" t="s">
        <v>124</v>
      </c>
      <c r="D14" s="7" t="s">
        <v>1675</v>
      </c>
      <c r="E14" s="7" t="s">
        <v>367</v>
      </c>
      <c r="F14" s="7"/>
      <c r="G14" s="7" t="s">
        <v>74</v>
      </c>
      <c r="H14" s="7"/>
      <c r="I14" s="7"/>
      <c r="J14" s="7" t="s">
        <v>1676</v>
      </c>
      <c r="K14" s="31" t="s">
        <v>368</v>
      </c>
      <c r="L14" s="46"/>
      <c r="M14" s="7"/>
      <c r="N14" s="46">
        <v>13</v>
      </c>
      <c r="O14" s="76" t="s">
        <v>1677</v>
      </c>
      <c r="P14" s="76" t="s">
        <v>1678</v>
      </c>
    </row>
    <row r="15" spans="1:16">
      <c r="A15" s="8" t="s">
        <v>350</v>
      </c>
      <c r="B15" s="8" t="s">
        <v>320</v>
      </c>
      <c r="C15" s="8"/>
      <c r="D15" s="8"/>
      <c r="E15" s="8" t="s">
        <v>351</v>
      </c>
      <c r="F15" s="8">
        <v>100</v>
      </c>
      <c r="G15" s="8" t="s">
        <v>98</v>
      </c>
      <c r="H15" s="8"/>
      <c r="I15" s="8"/>
      <c r="J15" s="8"/>
      <c r="K15" s="8" t="s">
        <v>327</v>
      </c>
      <c r="L15" s="46"/>
      <c r="M15" s="7"/>
      <c r="N15" s="46">
        <v>14</v>
      </c>
      <c r="O15" s="76" t="s">
        <v>1679</v>
      </c>
      <c r="P15" s="76" t="s">
        <v>1680</v>
      </c>
    </row>
    <row r="16" spans="1:16">
      <c r="A16" s="8" t="s">
        <v>354</v>
      </c>
      <c r="B16" s="8" t="s">
        <v>320</v>
      </c>
      <c r="C16" s="8"/>
      <c r="D16" s="8"/>
      <c r="E16" s="8" t="s">
        <v>351</v>
      </c>
      <c r="F16" s="8">
        <v>100</v>
      </c>
      <c r="G16" s="8" t="s">
        <v>98</v>
      </c>
      <c r="H16" s="8"/>
      <c r="I16" s="8"/>
      <c r="J16" s="8"/>
      <c r="K16" s="8" t="s">
        <v>327</v>
      </c>
      <c r="L16" s="46"/>
      <c r="M16" s="7"/>
      <c r="N16" s="46">
        <v>15</v>
      </c>
      <c r="O16" s="76" t="s">
        <v>1681</v>
      </c>
      <c r="P16" s="76" t="s">
        <v>1682</v>
      </c>
    </row>
    <row r="17" spans="1:16">
      <c r="A17" s="8" t="s">
        <v>357</v>
      </c>
      <c r="B17" s="8" t="s">
        <v>320</v>
      </c>
      <c r="C17" s="8"/>
      <c r="D17" s="8"/>
      <c r="E17" s="8" t="s">
        <v>351</v>
      </c>
      <c r="F17" s="8">
        <v>100</v>
      </c>
      <c r="G17" s="8" t="s">
        <v>98</v>
      </c>
      <c r="H17" s="8"/>
      <c r="I17" s="8"/>
      <c r="J17" s="8"/>
      <c r="K17" s="8" t="s">
        <v>327</v>
      </c>
      <c r="L17" s="46"/>
      <c r="M17" s="7"/>
      <c r="N17" s="46">
        <v>16</v>
      </c>
      <c r="O17" s="76" t="s">
        <v>1683</v>
      </c>
      <c r="P17" s="76" t="s">
        <v>1684</v>
      </c>
    </row>
    <row r="18" spans="1:16">
      <c r="A18" s="8" t="s">
        <v>360</v>
      </c>
      <c r="B18" s="8" t="s">
        <v>320</v>
      </c>
      <c r="C18" s="8"/>
      <c r="D18" s="8"/>
      <c r="E18" s="8" t="s">
        <v>351</v>
      </c>
      <c r="F18" s="8">
        <v>100</v>
      </c>
      <c r="G18" s="8" t="s">
        <v>98</v>
      </c>
      <c r="H18" s="8"/>
      <c r="I18" s="8"/>
      <c r="J18" s="8"/>
      <c r="K18" s="8" t="s">
        <v>327</v>
      </c>
      <c r="L18" s="46"/>
      <c r="M18" s="7"/>
      <c r="N18" s="46">
        <v>17</v>
      </c>
      <c r="O18" s="76" t="s">
        <v>1685</v>
      </c>
      <c r="P18" s="76" t="s">
        <v>1686</v>
      </c>
    </row>
    <row r="19" spans="1:16">
      <c r="A19" s="8" t="s">
        <v>363</v>
      </c>
      <c r="B19" s="8" t="s">
        <v>320</v>
      </c>
      <c r="C19" s="8"/>
      <c r="D19" s="8"/>
      <c r="E19" s="8" t="s">
        <v>351</v>
      </c>
      <c r="F19" s="8">
        <v>100</v>
      </c>
      <c r="G19" s="8" t="s">
        <v>98</v>
      </c>
      <c r="H19" s="8"/>
      <c r="I19" s="8"/>
      <c r="J19" s="8"/>
      <c r="K19" s="8" t="s">
        <v>327</v>
      </c>
      <c r="L19" s="46"/>
      <c r="M19" s="7"/>
      <c r="N19" s="46">
        <v>18</v>
      </c>
      <c r="O19" s="76" t="s">
        <v>1687</v>
      </c>
      <c r="P19" s="76" t="s">
        <v>1688</v>
      </c>
    </row>
    <row r="20" spans="1:16">
      <c r="A20" s="8" t="s">
        <v>366</v>
      </c>
      <c r="B20" s="8" t="s">
        <v>320</v>
      </c>
      <c r="C20" s="8"/>
      <c r="D20" s="8"/>
      <c r="E20" s="8" t="s">
        <v>367</v>
      </c>
      <c r="F20" s="8"/>
      <c r="G20" s="8" t="s">
        <v>98</v>
      </c>
      <c r="H20" s="8"/>
      <c r="I20" s="8"/>
      <c r="J20" s="8"/>
      <c r="K20" s="8" t="s">
        <v>368</v>
      </c>
      <c r="L20" s="46"/>
      <c r="M20" s="7"/>
      <c r="N20" s="46">
        <v>19</v>
      </c>
      <c r="O20" s="76" t="s">
        <v>1689</v>
      </c>
      <c r="P20" s="76" t="s">
        <v>1690</v>
      </c>
    </row>
    <row r="21" spans="1:16">
      <c r="A21" s="8" t="s">
        <v>371</v>
      </c>
      <c r="B21" s="8" t="s">
        <v>320</v>
      </c>
      <c r="C21" s="8"/>
      <c r="D21" s="8"/>
      <c r="E21" s="8" t="s">
        <v>367</v>
      </c>
      <c r="F21" s="8"/>
      <c r="G21" s="8" t="s">
        <v>98</v>
      </c>
      <c r="H21" s="8"/>
      <c r="I21" s="8"/>
      <c r="J21" s="8"/>
      <c r="K21" s="8" t="s">
        <v>368</v>
      </c>
      <c r="L21" s="46"/>
      <c r="M21" s="7"/>
      <c r="N21" s="46">
        <v>20</v>
      </c>
      <c r="O21" s="76" t="s">
        <v>1691</v>
      </c>
      <c r="P21" s="76" t="s">
        <v>1692</v>
      </c>
    </row>
    <row r="22" spans="1:16">
      <c r="A22" s="8" t="s">
        <v>374</v>
      </c>
      <c r="B22" s="8" t="s">
        <v>320</v>
      </c>
      <c r="C22" s="8"/>
      <c r="D22" s="8"/>
      <c r="E22" s="8" t="s">
        <v>351</v>
      </c>
      <c r="F22" s="8">
        <v>100</v>
      </c>
      <c r="G22" s="8" t="s">
        <v>98</v>
      </c>
      <c r="H22" s="8"/>
      <c r="I22" s="8"/>
      <c r="J22" s="8"/>
      <c r="K22" s="8" t="s">
        <v>327</v>
      </c>
      <c r="L22" s="46"/>
      <c r="M22" s="7"/>
      <c r="N22" s="46">
        <v>21</v>
      </c>
      <c r="O22" s="76" t="s">
        <v>1693</v>
      </c>
      <c r="P22" s="76" t="s">
        <v>1694</v>
      </c>
    </row>
    <row r="24" spans="1:16">
      <c r="A24" s="21" t="s">
        <v>90</v>
      </c>
    </row>
    <row r="25" spans="1:16">
      <c r="A25" s="35" t="s">
        <v>1612</v>
      </c>
      <c r="M25" t="str">
        <f ca="1">UPPER(_xlfn.CONCAT(DEC2HEX(RANDBETWEEN(0,4294967295),8),"-",DEC2HEX(RANDBETWEEN(0,65535),4),"-",DEC2HEX(RANDBETWEEN(0,65535),4),"-",DEC2HEX(RANDBETWEEN(0,65535),4),"-",DEC2HEX(RANDBETWEEN(0,4294967295),8),DEC2HEX(RANDBETWEEN(0,65535),4)))</f>
        <v>F14E24E0-3DE8-AAE7-E4A8-37A18106AD05</v>
      </c>
      <c r="N25" t="str">
        <f ca="1">M25</f>
        <v>F14E24E0-3DE8-AAE7-E4A8-37A18106AD05</v>
      </c>
    </row>
    <row r="26" spans="1:16">
      <c r="A26" s="36" t="s">
        <v>1695</v>
      </c>
    </row>
    <row r="28" spans="1:16">
      <c r="A28" t="s">
        <v>1696</v>
      </c>
    </row>
    <row r="29" spans="1:16">
      <c r="A29" s="36" t="s">
        <v>1697</v>
      </c>
    </row>
    <row r="31" spans="1:16">
      <c r="A31" t="s">
        <v>1614</v>
      </c>
    </row>
    <row r="33" spans="1:1">
      <c r="A33" s="21" t="s">
        <v>1698</v>
      </c>
    </row>
    <row r="34" spans="1:1">
      <c r="A34" s="35" t="s">
        <v>1699</v>
      </c>
    </row>
  </sheetData>
  <hyperlinks>
    <hyperlink ref="A26" r:id="rId1" xr:uid="{F52265D2-76A0-4490-949A-3D4448CC1844}"/>
    <hyperlink ref="A29" r:id="rId2" xr:uid="{2A9828EA-A0CA-4EA4-8368-73360BB389FC}"/>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3C5E-E996-44F0-AA63-C8C944F30468}">
  <sheetPr codeName="Sheet48">
    <tabColor rgb="FF7030A0"/>
  </sheetPr>
  <dimension ref="A1:P54"/>
  <sheetViews>
    <sheetView workbookViewId="0">
      <pane xSplit="1" ySplit="2" topLeftCell="B30" activePane="bottomRight" state="frozen"/>
      <selection pane="bottomRight" activeCell="A58" sqref="A58"/>
      <selection pane="bottomLeft" activeCell="A3" sqref="A3"/>
      <selection pane="topRight" activeCell="B1" sqref="B1"/>
    </sheetView>
  </sheetViews>
  <sheetFormatPr defaultRowHeight="14.45"/>
  <cols>
    <col min="1" max="1" width="58.85546875" customWidth="1"/>
    <col min="2" max="2" width="52.5703125" customWidth="1"/>
    <col min="3" max="3" width="25.5703125" customWidth="1"/>
    <col min="4" max="4" width="35.28515625" customWidth="1"/>
    <col min="5" max="7" width="15.7109375" customWidth="1"/>
    <col min="8" max="8" width="54" bestFit="1" customWidth="1"/>
    <col min="9" max="9" width="11.85546875" bestFit="1" customWidth="1"/>
    <col min="10" max="10" width="89.140625" bestFit="1" customWidth="1"/>
    <col min="11" max="11" width="20.7109375" customWidth="1"/>
    <col min="12" max="12" width="15.7109375" bestFit="1" customWidth="1"/>
    <col min="13" max="13" width="39.28515625" customWidth="1"/>
    <col min="14" max="14" width="17.28515625" bestFit="1" customWidth="1"/>
    <col min="15" max="15" width="38.28515625" bestFit="1" customWidth="1"/>
    <col min="16" max="16" width="30.7109375" bestFit="1" customWidth="1"/>
  </cols>
  <sheetData>
    <row r="1" spans="1:16" ht="60" customHeight="1">
      <c r="A1" s="1" t="s">
        <v>160</v>
      </c>
      <c r="D1" s="2" t="s">
        <v>297</v>
      </c>
      <c r="I1" s="3" t="s">
        <v>298</v>
      </c>
      <c r="J1" s="4" t="s">
        <v>299</v>
      </c>
      <c r="K1" s="19" t="s">
        <v>300</v>
      </c>
      <c r="L1" s="23" t="s">
        <v>301</v>
      </c>
    </row>
    <row r="2" spans="1:16">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c r="A3" s="7" t="s">
        <v>1700</v>
      </c>
      <c r="B3" s="7" t="s">
        <v>113</v>
      </c>
      <c r="C3" s="7" t="s">
        <v>161</v>
      </c>
      <c r="D3" s="7" t="s">
        <v>1701</v>
      </c>
      <c r="E3" s="7" t="s">
        <v>325</v>
      </c>
      <c r="F3" s="7">
        <v>25</v>
      </c>
      <c r="G3" s="7" t="s">
        <v>74</v>
      </c>
      <c r="H3" s="7" t="s">
        <v>1702</v>
      </c>
      <c r="I3" s="7"/>
      <c r="J3" s="7" t="s">
        <v>1703</v>
      </c>
      <c r="K3" s="31" t="s">
        <v>327</v>
      </c>
      <c r="L3" s="46"/>
      <c r="M3" s="7"/>
      <c r="N3" s="46">
        <v>2</v>
      </c>
      <c r="O3" s="76" t="s">
        <v>1704</v>
      </c>
      <c r="P3" s="76" t="s">
        <v>1705</v>
      </c>
    </row>
    <row r="4" spans="1:16">
      <c r="A4" s="84" t="s">
        <v>479</v>
      </c>
      <c r="B4" s="22" t="s">
        <v>66</v>
      </c>
      <c r="C4" s="22" t="s">
        <v>161</v>
      </c>
      <c r="D4" s="22" t="s">
        <v>1706</v>
      </c>
      <c r="E4" s="22" t="s">
        <v>319</v>
      </c>
      <c r="F4" s="22"/>
      <c r="G4" s="22" t="s">
        <v>74</v>
      </c>
      <c r="H4" s="22" t="s">
        <v>1707</v>
      </c>
      <c r="I4" s="22"/>
      <c r="J4" s="22" t="s">
        <v>1708</v>
      </c>
      <c r="K4" s="22">
        <v>-1</v>
      </c>
      <c r="L4" s="46"/>
      <c r="M4" s="7" t="s">
        <v>1227</v>
      </c>
      <c r="N4" s="46">
        <v>3</v>
      </c>
      <c r="O4" s="76" t="s">
        <v>1709</v>
      </c>
      <c r="P4" s="76" t="s">
        <v>1710</v>
      </c>
    </row>
    <row r="5" spans="1:16">
      <c r="A5" s="7" t="s">
        <v>487</v>
      </c>
      <c r="B5" s="7" t="s">
        <v>113</v>
      </c>
      <c r="C5" s="7" t="s">
        <v>161</v>
      </c>
      <c r="D5" s="7" t="s">
        <v>1711</v>
      </c>
      <c r="E5" s="7" t="s">
        <v>325</v>
      </c>
      <c r="F5" s="7">
        <v>10</v>
      </c>
      <c r="G5" s="7" t="s">
        <v>74</v>
      </c>
      <c r="H5" s="7"/>
      <c r="I5" s="7"/>
      <c r="J5" s="7" t="s">
        <v>1712</v>
      </c>
      <c r="K5" s="7" t="s">
        <v>327</v>
      </c>
      <c r="L5" s="46"/>
      <c r="M5" s="7"/>
      <c r="N5" s="46">
        <v>4</v>
      </c>
      <c r="O5" s="76" t="s">
        <v>1713</v>
      </c>
      <c r="P5" s="76" t="s">
        <v>1714</v>
      </c>
    </row>
    <row r="6" spans="1:16">
      <c r="A6" s="113" t="s">
        <v>1715</v>
      </c>
      <c r="B6" s="22" t="s">
        <v>60</v>
      </c>
      <c r="C6" s="113" t="s">
        <v>149</v>
      </c>
      <c r="D6" s="113" t="s">
        <v>1715</v>
      </c>
      <c r="E6" s="22" t="s">
        <v>319</v>
      </c>
      <c r="F6" s="113"/>
      <c r="G6" s="113" t="s">
        <v>74</v>
      </c>
      <c r="H6" s="113" t="s">
        <v>1716</v>
      </c>
      <c r="I6" s="113"/>
      <c r="J6" s="113" t="s">
        <v>1717</v>
      </c>
      <c r="K6" s="113" t="s">
        <v>327</v>
      </c>
      <c r="N6" s="46">
        <v>5</v>
      </c>
      <c r="O6" s="76" t="s">
        <v>1718</v>
      </c>
      <c r="P6" s="76" t="s">
        <v>1719</v>
      </c>
    </row>
    <row r="7" spans="1:16">
      <c r="A7" s="7" t="s">
        <v>1720</v>
      </c>
      <c r="B7" s="7" t="s">
        <v>113</v>
      </c>
      <c r="C7" s="7" t="s">
        <v>161</v>
      </c>
      <c r="D7" s="7" t="s">
        <v>1721</v>
      </c>
      <c r="E7" s="7" t="s">
        <v>325</v>
      </c>
      <c r="F7" s="7">
        <v>25</v>
      </c>
      <c r="G7" s="7" t="s">
        <v>74</v>
      </c>
      <c r="H7" s="7" t="s">
        <v>1722</v>
      </c>
      <c r="I7" s="7"/>
      <c r="J7" s="7" t="s">
        <v>1723</v>
      </c>
      <c r="K7" s="7" t="s">
        <v>327</v>
      </c>
      <c r="L7" s="46"/>
      <c r="M7" s="7" t="s">
        <v>1227</v>
      </c>
      <c r="N7" s="46">
        <v>6</v>
      </c>
      <c r="O7" s="76" t="s">
        <v>1724</v>
      </c>
      <c r="P7" s="76" t="s">
        <v>1725</v>
      </c>
    </row>
    <row r="8" spans="1:16">
      <c r="A8" s="22" t="s">
        <v>1291</v>
      </c>
      <c r="B8" s="22" t="s">
        <v>60</v>
      </c>
      <c r="C8" s="22" t="s">
        <v>247</v>
      </c>
      <c r="D8" s="22" t="s">
        <v>1292</v>
      </c>
      <c r="E8" s="22" t="s">
        <v>319</v>
      </c>
      <c r="F8" s="22"/>
      <c r="G8" s="22" t="s">
        <v>74</v>
      </c>
      <c r="H8" s="22" t="s">
        <v>1726</v>
      </c>
      <c r="I8" s="22"/>
      <c r="J8" s="22" t="s">
        <v>1727</v>
      </c>
      <c r="K8" s="22" t="s">
        <v>327</v>
      </c>
      <c r="L8" s="46"/>
      <c r="M8" s="7" t="s">
        <v>1728</v>
      </c>
      <c r="N8" s="46">
        <v>7</v>
      </c>
      <c r="O8" s="76" t="s">
        <v>1729</v>
      </c>
      <c r="P8" s="76" t="s">
        <v>1730</v>
      </c>
    </row>
    <row r="9" spans="1:16">
      <c r="A9" s="22" t="s">
        <v>1306</v>
      </c>
      <c r="B9" s="22" t="s">
        <v>66</v>
      </c>
      <c r="C9" s="22" t="s">
        <v>270</v>
      </c>
      <c r="D9" s="22" t="s">
        <v>1072</v>
      </c>
      <c r="E9" s="22" t="s">
        <v>319</v>
      </c>
      <c r="F9" s="22"/>
      <c r="G9" s="22" t="s">
        <v>74</v>
      </c>
      <c r="H9" s="22" t="s">
        <v>1731</v>
      </c>
      <c r="I9" s="22"/>
      <c r="J9" s="22" t="s">
        <v>1732</v>
      </c>
      <c r="K9" s="22" t="s">
        <v>327</v>
      </c>
      <c r="L9" s="46"/>
      <c r="M9" s="7"/>
      <c r="N9" s="46">
        <v>8</v>
      </c>
      <c r="O9" s="76" t="s">
        <v>1733</v>
      </c>
      <c r="P9" s="76" t="s">
        <v>1734</v>
      </c>
    </row>
    <row r="10" spans="1:16">
      <c r="A10" s="22" t="s">
        <v>1301</v>
      </c>
      <c r="B10" s="22" t="s">
        <v>66</v>
      </c>
      <c r="C10" s="22" t="s">
        <v>236</v>
      </c>
      <c r="D10" s="22" t="s">
        <v>927</v>
      </c>
      <c r="E10" s="22" t="s">
        <v>319</v>
      </c>
      <c r="F10" s="22"/>
      <c r="G10" s="22" t="s">
        <v>74</v>
      </c>
      <c r="H10" s="22" t="s">
        <v>1735</v>
      </c>
      <c r="I10" s="22"/>
      <c r="J10" s="22" t="s">
        <v>1736</v>
      </c>
      <c r="K10" s="22" t="s">
        <v>327</v>
      </c>
      <c r="L10" s="46"/>
      <c r="M10" s="7"/>
      <c r="N10" s="46">
        <v>9</v>
      </c>
      <c r="O10" s="76" t="s">
        <v>1737</v>
      </c>
      <c r="P10" s="76" t="s">
        <v>1738</v>
      </c>
    </row>
    <row r="11" spans="1:16">
      <c r="A11" s="22" t="s">
        <v>1311</v>
      </c>
      <c r="B11" s="22" t="s">
        <v>66</v>
      </c>
      <c r="C11" s="22" t="s">
        <v>281</v>
      </c>
      <c r="D11" s="22" t="s">
        <v>1103</v>
      </c>
      <c r="E11" s="22" t="s">
        <v>319</v>
      </c>
      <c r="F11" s="22"/>
      <c r="G11" s="22" t="s">
        <v>74</v>
      </c>
      <c r="H11" s="22" t="s">
        <v>1739</v>
      </c>
      <c r="I11" s="22"/>
      <c r="J11" s="22" t="s">
        <v>1740</v>
      </c>
      <c r="K11" s="22" t="s">
        <v>327</v>
      </c>
      <c r="L11" s="46"/>
      <c r="M11" s="7"/>
      <c r="N11" s="46">
        <v>10</v>
      </c>
      <c r="O11" s="76" t="s">
        <v>1741</v>
      </c>
      <c r="P11" s="76" t="s">
        <v>1742</v>
      </c>
    </row>
    <row r="12" spans="1:16">
      <c r="A12" s="22" t="s">
        <v>1743</v>
      </c>
      <c r="B12" s="22" t="s">
        <v>60</v>
      </c>
      <c r="C12" s="22" t="s">
        <v>247</v>
      </c>
      <c r="D12" s="22" t="s">
        <v>1292</v>
      </c>
      <c r="E12" s="22" t="s">
        <v>319</v>
      </c>
      <c r="F12" s="22"/>
      <c r="G12" s="22" t="s">
        <v>74</v>
      </c>
      <c r="H12" s="22" t="s">
        <v>1744</v>
      </c>
      <c r="I12" s="22"/>
      <c r="J12" s="22" t="s">
        <v>1745</v>
      </c>
      <c r="K12" s="22" t="s">
        <v>327</v>
      </c>
      <c r="L12" s="46"/>
      <c r="M12" s="7" t="s">
        <v>1746</v>
      </c>
      <c r="N12" s="46">
        <v>11</v>
      </c>
      <c r="O12" s="76" t="s">
        <v>1747</v>
      </c>
      <c r="P12" s="76" t="s">
        <v>1748</v>
      </c>
    </row>
    <row r="13" spans="1:16">
      <c r="A13" s="22" t="s">
        <v>1749</v>
      </c>
      <c r="B13" s="22" t="s">
        <v>66</v>
      </c>
      <c r="C13" s="22" t="s">
        <v>270</v>
      </c>
      <c r="D13" s="22" t="s">
        <v>1072</v>
      </c>
      <c r="E13" s="22" t="s">
        <v>319</v>
      </c>
      <c r="F13" s="22"/>
      <c r="G13" s="22" t="s">
        <v>74</v>
      </c>
      <c r="H13" s="22" t="s">
        <v>1750</v>
      </c>
      <c r="I13" s="22"/>
      <c r="J13" s="22" t="s">
        <v>1751</v>
      </c>
      <c r="K13" s="22" t="s">
        <v>327</v>
      </c>
      <c r="L13" s="46"/>
      <c r="M13" s="7"/>
      <c r="N13" s="46">
        <v>12</v>
      </c>
      <c r="O13" s="76" t="s">
        <v>1752</v>
      </c>
      <c r="P13" s="76" t="s">
        <v>1753</v>
      </c>
    </row>
    <row r="14" spans="1:16">
      <c r="A14" s="22" t="s">
        <v>1754</v>
      </c>
      <c r="B14" s="22" t="s">
        <v>66</v>
      </c>
      <c r="C14" s="22" t="s">
        <v>236</v>
      </c>
      <c r="D14" s="22" t="s">
        <v>927</v>
      </c>
      <c r="E14" s="22" t="s">
        <v>319</v>
      </c>
      <c r="F14" s="22"/>
      <c r="G14" s="22" t="s">
        <v>74</v>
      </c>
      <c r="H14" s="22" t="s">
        <v>1755</v>
      </c>
      <c r="I14" s="22"/>
      <c r="J14" s="22" t="s">
        <v>1756</v>
      </c>
      <c r="K14" s="22" t="s">
        <v>327</v>
      </c>
      <c r="L14" s="46"/>
      <c r="M14" s="7"/>
      <c r="N14" s="46">
        <v>13</v>
      </c>
      <c r="O14" s="76" t="s">
        <v>1757</v>
      </c>
      <c r="P14" s="76" t="s">
        <v>1758</v>
      </c>
    </row>
    <row r="15" spans="1:16">
      <c r="A15" s="22" t="s">
        <v>1759</v>
      </c>
      <c r="B15" s="22" t="s">
        <v>66</v>
      </c>
      <c r="C15" s="22" t="s">
        <v>281</v>
      </c>
      <c r="D15" s="22" t="s">
        <v>1103</v>
      </c>
      <c r="E15" s="22" t="s">
        <v>319</v>
      </c>
      <c r="F15" s="22"/>
      <c r="G15" s="22" t="s">
        <v>74</v>
      </c>
      <c r="H15" s="22" t="s">
        <v>1760</v>
      </c>
      <c r="I15" s="22"/>
      <c r="J15" s="22" t="s">
        <v>1761</v>
      </c>
      <c r="K15" s="22" t="s">
        <v>327</v>
      </c>
      <c r="L15" s="46"/>
      <c r="M15" s="7"/>
      <c r="N15" s="46">
        <v>14</v>
      </c>
      <c r="O15" s="76" t="s">
        <v>1762</v>
      </c>
      <c r="P15" s="76" t="s">
        <v>1763</v>
      </c>
    </row>
    <row r="16" spans="1:16">
      <c r="A16" s="22" t="s">
        <v>1248</v>
      </c>
      <c r="B16" s="22" t="s">
        <v>60</v>
      </c>
      <c r="C16" s="22" t="s">
        <v>189</v>
      </c>
      <c r="D16" s="22" t="s">
        <v>1248</v>
      </c>
      <c r="E16" s="22" t="s">
        <v>319</v>
      </c>
      <c r="F16" s="22"/>
      <c r="G16" s="22" t="s">
        <v>74</v>
      </c>
      <c r="H16" s="22" t="s">
        <v>1249</v>
      </c>
      <c r="I16" s="22"/>
      <c r="J16" s="22" t="s">
        <v>1764</v>
      </c>
      <c r="K16" s="22" t="s">
        <v>327</v>
      </c>
      <c r="L16" s="46"/>
      <c r="M16" s="7"/>
      <c r="N16" s="46">
        <v>15</v>
      </c>
      <c r="O16" s="76" t="s">
        <v>1765</v>
      </c>
      <c r="P16" s="76" t="s">
        <v>1766</v>
      </c>
    </row>
    <row r="17" spans="1:16">
      <c r="A17" s="7" t="s">
        <v>1767</v>
      </c>
      <c r="B17" s="7" t="s">
        <v>113</v>
      </c>
      <c r="C17" s="7" t="s">
        <v>161</v>
      </c>
      <c r="D17" s="7" t="s">
        <v>1768</v>
      </c>
      <c r="E17" s="7" t="s">
        <v>325</v>
      </c>
      <c r="F17" s="7">
        <v>25</v>
      </c>
      <c r="G17" s="7" t="s">
        <v>74</v>
      </c>
      <c r="H17" s="7"/>
      <c r="I17" s="7"/>
      <c r="J17" s="7" t="s">
        <v>1769</v>
      </c>
      <c r="K17" s="7" t="s">
        <v>327</v>
      </c>
      <c r="L17" s="46"/>
      <c r="M17" s="7"/>
      <c r="N17" s="46">
        <v>16</v>
      </c>
      <c r="O17" s="76" t="s">
        <v>1770</v>
      </c>
      <c r="P17" s="76" t="s">
        <v>1771</v>
      </c>
    </row>
    <row r="18" spans="1:16">
      <c r="A18" s="7" t="s">
        <v>1772</v>
      </c>
      <c r="B18" s="7" t="s">
        <v>113</v>
      </c>
      <c r="C18" s="7" t="s">
        <v>161</v>
      </c>
      <c r="D18" s="7" t="s">
        <v>1773</v>
      </c>
      <c r="E18" s="7" t="s">
        <v>325</v>
      </c>
      <c r="F18" s="7">
        <v>255</v>
      </c>
      <c r="G18" s="7" t="s">
        <v>74</v>
      </c>
      <c r="H18" s="7"/>
      <c r="I18" s="7"/>
      <c r="J18" s="7" t="s">
        <v>1774</v>
      </c>
      <c r="K18" s="7" t="s">
        <v>327</v>
      </c>
      <c r="L18" s="46"/>
      <c r="M18" s="7"/>
      <c r="N18" s="46">
        <v>17</v>
      </c>
      <c r="O18" s="76" t="s">
        <v>1775</v>
      </c>
      <c r="P18" s="76" t="s">
        <v>1776</v>
      </c>
    </row>
    <row r="19" spans="1:16">
      <c r="A19" s="7" t="s">
        <v>1777</v>
      </c>
      <c r="B19" s="7" t="s">
        <v>113</v>
      </c>
      <c r="C19" s="7" t="s">
        <v>161</v>
      </c>
      <c r="D19" s="7" t="s">
        <v>1778</v>
      </c>
      <c r="E19" s="7" t="s">
        <v>325</v>
      </c>
      <c r="F19" s="7">
        <v>10</v>
      </c>
      <c r="G19" s="7" t="s">
        <v>74</v>
      </c>
      <c r="H19" s="7"/>
      <c r="I19" s="7"/>
      <c r="J19" s="7" t="s">
        <v>1779</v>
      </c>
      <c r="K19" s="7" t="s">
        <v>327</v>
      </c>
      <c r="L19" s="46"/>
      <c r="M19" s="7"/>
      <c r="N19" s="46">
        <v>18</v>
      </c>
      <c r="O19" s="76" t="s">
        <v>1780</v>
      </c>
      <c r="P19" s="76" t="s">
        <v>1781</v>
      </c>
    </row>
    <row r="20" spans="1:16">
      <c r="A20" s="7" t="s">
        <v>1782</v>
      </c>
      <c r="B20" s="7" t="s">
        <v>113</v>
      </c>
      <c r="C20" s="7" t="s">
        <v>161</v>
      </c>
      <c r="D20" s="7" t="s">
        <v>1783</v>
      </c>
      <c r="E20" s="7" t="s">
        <v>325</v>
      </c>
      <c r="F20" s="7">
        <v>25</v>
      </c>
      <c r="G20" s="7" t="s">
        <v>74</v>
      </c>
      <c r="H20" s="7" t="s">
        <v>1784</v>
      </c>
      <c r="I20" s="7"/>
      <c r="J20" s="7" t="s">
        <v>1785</v>
      </c>
      <c r="K20" s="7" t="s">
        <v>327</v>
      </c>
      <c r="L20" s="46"/>
      <c r="M20" s="7" t="s">
        <v>1786</v>
      </c>
      <c r="N20" s="46">
        <v>19</v>
      </c>
      <c r="O20" s="76" t="s">
        <v>1787</v>
      </c>
      <c r="P20" s="76" t="s">
        <v>1788</v>
      </c>
    </row>
    <row r="21" spans="1:16">
      <c r="A21" s="22" t="s">
        <v>1147</v>
      </c>
      <c r="B21" s="22" t="s">
        <v>66</v>
      </c>
      <c r="C21" s="22" t="s">
        <v>1146</v>
      </c>
      <c r="D21" s="22" t="s">
        <v>1147</v>
      </c>
      <c r="E21" s="22" t="s">
        <v>319</v>
      </c>
      <c r="F21" s="22"/>
      <c r="G21" s="22" t="s">
        <v>74</v>
      </c>
      <c r="H21" s="22" t="s">
        <v>1789</v>
      </c>
      <c r="I21" s="22"/>
      <c r="J21" s="22" t="s">
        <v>1790</v>
      </c>
      <c r="K21" s="22" t="s">
        <v>327</v>
      </c>
      <c r="L21" s="46"/>
      <c r="M21" s="7" t="s">
        <v>1791</v>
      </c>
      <c r="N21" s="46">
        <v>20</v>
      </c>
      <c r="O21" s="76" t="s">
        <v>1792</v>
      </c>
      <c r="P21" s="76" t="s">
        <v>1793</v>
      </c>
    </row>
    <row r="22" spans="1:16">
      <c r="A22" s="7" t="s">
        <v>1794</v>
      </c>
      <c r="B22" s="7" t="s">
        <v>113</v>
      </c>
      <c r="C22" s="7" t="s">
        <v>161</v>
      </c>
      <c r="D22" s="7" t="s">
        <v>1795</v>
      </c>
      <c r="E22" s="7" t="s">
        <v>325</v>
      </c>
      <c r="F22" s="7">
        <v>25</v>
      </c>
      <c r="G22" s="7" t="s">
        <v>74</v>
      </c>
      <c r="H22" s="7" t="s">
        <v>1796</v>
      </c>
      <c r="I22" s="7"/>
      <c r="J22" s="7" t="s">
        <v>1797</v>
      </c>
      <c r="K22" s="7" t="s">
        <v>327</v>
      </c>
      <c r="L22" s="46"/>
      <c r="M22" s="7" t="s">
        <v>1786</v>
      </c>
      <c r="N22" s="46">
        <v>21</v>
      </c>
      <c r="O22" s="76" t="s">
        <v>1798</v>
      </c>
      <c r="P22" s="76" t="s">
        <v>1799</v>
      </c>
    </row>
    <row r="23" spans="1:16">
      <c r="A23" s="7" t="s">
        <v>1800</v>
      </c>
      <c r="B23" s="7" t="s">
        <v>113</v>
      </c>
      <c r="C23" s="7" t="s">
        <v>161</v>
      </c>
      <c r="D23" s="7" t="s">
        <v>1801</v>
      </c>
      <c r="E23" s="7" t="s">
        <v>325</v>
      </c>
      <c r="F23" s="7">
        <v>10</v>
      </c>
      <c r="G23" s="7" t="s">
        <v>74</v>
      </c>
      <c r="H23" s="7"/>
      <c r="I23" s="7"/>
      <c r="J23" s="7" t="s">
        <v>1802</v>
      </c>
      <c r="K23" s="7" t="s">
        <v>327</v>
      </c>
      <c r="L23" s="46"/>
      <c r="M23" s="7"/>
      <c r="N23" s="46">
        <v>22</v>
      </c>
      <c r="O23" s="76" t="s">
        <v>1803</v>
      </c>
      <c r="P23" s="76" t="s">
        <v>1804</v>
      </c>
    </row>
    <row r="24" spans="1:16">
      <c r="A24" s="22" t="s">
        <v>1805</v>
      </c>
      <c r="B24" s="22" t="s">
        <v>66</v>
      </c>
      <c r="C24" s="22" t="s">
        <v>158</v>
      </c>
      <c r="D24" s="22" t="s">
        <v>504</v>
      </c>
      <c r="E24" s="22" t="s">
        <v>325</v>
      </c>
      <c r="F24" s="22">
        <v>5</v>
      </c>
      <c r="G24" s="22" t="s">
        <v>74</v>
      </c>
      <c r="H24" s="22" t="s">
        <v>1806</v>
      </c>
      <c r="I24" s="22"/>
      <c r="J24" s="22" t="s">
        <v>1807</v>
      </c>
      <c r="K24" s="22" t="s">
        <v>327</v>
      </c>
      <c r="L24" s="46"/>
      <c r="M24" s="7" t="s">
        <v>1808</v>
      </c>
      <c r="N24" s="46">
        <v>23</v>
      </c>
      <c r="O24" s="76" t="s">
        <v>1809</v>
      </c>
      <c r="P24" s="76" t="s">
        <v>1810</v>
      </c>
    </row>
    <row r="25" spans="1:16">
      <c r="A25" s="7" t="s">
        <v>1811</v>
      </c>
      <c r="B25" s="7" t="s">
        <v>113</v>
      </c>
      <c r="C25" s="7" t="s">
        <v>161</v>
      </c>
      <c r="D25" s="7" t="s">
        <v>1812</v>
      </c>
      <c r="E25" s="7" t="s">
        <v>1377</v>
      </c>
      <c r="F25" s="7"/>
      <c r="G25" s="7" t="s">
        <v>74</v>
      </c>
      <c r="H25" s="7"/>
      <c r="I25" s="7"/>
      <c r="J25" s="7" t="s">
        <v>1813</v>
      </c>
      <c r="K25" s="7" t="s">
        <v>1379</v>
      </c>
      <c r="L25" s="46"/>
      <c r="M25" s="7"/>
      <c r="N25" s="46">
        <v>24</v>
      </c>
      <c r="O25" s="76" t="s">
        <v>1814</v>
      </c>
      <c r="P25" s="76" t="s">
        <v>1815</v>
      </c>
    </row>
    <row r="26" spans="1:16">
      <c r="A26" s="22" t="s">
        <v>1816</v>
      </c>
      <c r="B26" s="22" t="s">
        <v>66</v>
      </c>
      <c r="C26" s="22" t="s">
        <v>158</v>
      </c>
      <c r="D26" s="22" t="s">
        <v>504</v>
      </c>
      <c r="E26" s="22" t="s">
        <v>325</v>
      </c>
      <c r="F26" s="22">
        <v>5</v>
      </c>
      <c r="G26" s="22" t="s">
        <v>74</v>
      </c>
      <c r="H26" s="22" t="s">
        <v>1817</v>
      </c>
      <c r="I26" s="22"/>
      <c r="J26" s="22" t="s">
        <v>1818</v>
      </c>
      <c r="K26" s="22" t="s">
        <v>327</v>
      </c>
      <c r="L26" s="46"/>
      <c r="M26" s="7" t="s">
        <v>1808</v>
      </c>
      <c r="N26" s="46">
        <v>25</v>
      </c>
      <c r="O26" s="76" t="s">
        <v>1819</v>
      </c>
      <c r="P26" s="76" t="s">
        <v>1820</v>
      </c>
    </row>
    <row r="27" spans="1:16">
      <c r="A27" s="7" t="s">
        <v>1821</v>
      </c>
      <c r="B27" s="7" t="s">
        <v>113</v>
      </c>
      <c r="C27" s="7" t="s">
        <v>161</v>
      </c>
      <c r="D27" s="7" t="s">
        <v>1822</v>
      </c>
      <c r="E27" s="7" t="s">
        <v>1377</v>
      </c>
      <c r="F27" s="7"/>
      <c r="G27" s="7" t="s">
        <v>74</v>
      </c>
      <c r="H27" s="7"/>
      <c r="I27" s="7"/>
      <c r="J27" s="7" t="s">
        <v>1823</v>
      </c>
      <c r="K27" s="7" t="s">
        <v>1379</v>
      </c>
      <c r="L27" s="46"/>
      <c r="M27" s="7"/>
      <c r="N27" s="46">
        <v>26</v>
      </c>
      <c r="O27" s="76" t="s">
        <v>1824</v>
      </c>
      <c r="P27" s="76" t="s">
        <v>1825</v>
      </c>
    </row>
    <row r="28" spans="1:16">
      <c r="A28" s="22" t="s">
        <v>1826</v>
      </c>
      <c r="B28" s="22" t="s">
        <v>66</v>
      </c>
      <c r="C28" s="22" t="s">
        <v>158</v>
      </c>
      <c r="D28" s="22" t="s">
        <v>504</v>
      </c>
      <c r="E28" s="22" t="s">
        <v>325</v>
      </c>
      <c r="F28" s="22">
        <v>5</v>
      </c>
      <c r="G28" s="22" t="s">
        <v>74</v>
      </c>
      <c r="H28" s="22" t="s">
        <v>1827</v>
      </c>
      <c r="I28" s="22"/>
      <c r="J28" s="22" t="s">
        <v>1828</v>
      </c>
      <c r="K28" s="22" t="s">
        <v>327</v>
      </c>
      <c r="L28" s="46"/>
      <c r="M28" s="7" t="s">
        <v>1808</v>
      </c>
      <c r="N28" s="46">
        <v>27</v>
      </c>
      <c r="O28" s="76" t="s">
        <v>1829</v>
      </c>
      <c r="P28" s="76" t="s">
        <v>1830</v>
      </c>
    </row>
    <row r="29" spans="1:16">
      <c r="A29" s="7" t="s">
        <v>1831</v>
      </c>
      <c r="B29" s="7" t="s">
        <v>113</v>
      </c>
      <c r="C29" s="7" t="s">
        <v>161</v>
      </c>
      <c r="D29" s="7" t="s">
        <v>1832</v>
      </c>
      <c r="E29" s="7" t="s">
        <v>1377</v>
      </c>
      <c r="F29" s="7"/>
      <c r="G29" s="7" t="s">
        <v>74</v>
      </c>
      <c r="H29" s="7"/>
      <c r="I29" s="7"/>
      <c r="J29" s="7" t="s">
        <v>1833</v>
      </c>
      <c r="K29" s="7" t="s">
        <v>1379</v>
      </c>
      <c r="L29" s="46"/>
      <c r="M29" s="7"/>
      <c r="N29" s="46">
        <v>28</v>
      </c>
      <c r="O29" s="76" t="s">
        <v>1834</v>
      </c>
      <c r="P29" s="76" t="s">
        <v>1835</v>
      </c>
    </row>
    <row r="30" spans="1:16">
      <c r="A30" s="7" t="s">
        <v>1836</v>
      </c>
      <c r="B30" s="7" t="s">
        <v>113</v>
      </c>
      <c r="C30" s="7" t="s">
        <v>161</v>
      </c>
      <c r="D30" s="7" t="s">
        <v>1837</v>
      </c>
      <c r="E30" s="7" t="s">
        <v>1377</v>
      </c>
      <c r="F30" s="7"/>
      <c r="G30" s="7" t="s">
        <v>74</v>
      </c>
      <c r="H30" s="7"/>
      <c r="I30" s="7"/>
      <c r="J30" s="7" t="s">
        <v>1838</v>
      </c>
      <c r="K30" s="7" t="s">
        <v>1379</v>
      </c>
      <c r="L30" s="46"/>
      <c r="M30" s="7"/>
      <c r="N30" s="46">
        <v>29</v>
      </c>
      <c r="O30" s="76" t="s">
        <v>1839</v>
      </c>
      <c r="P30" s="76" t="s">
        <v>1840</v>
      </c>
    </row>
    <row r="31" spans="1:16">
      <c r="A31" s="7" t="s">
        <v>1841</v>
      </c>
      <c r="B31" s="7" t="s">
        <v>113</v>
      </c>
      <c r="C31" s="7" t="s">
        <v>161</v>
      </c>
      <c r="D31" s="7" t="s">
        <v>1842</v>
      </c>
      <c r="E31" s="7" t="s">
        <v>1377</v>
      </c>
      <c r="F31" s="7"/>
      <c r="G31" s="7" t="s">
        <v>74</v>
      </c>
      <c r="H31" s="7"/>
      <c r="I31" s="7"/>
      <c r="J31" s="7" t="s">
        <v>1843</v>
      </c>
      <c r="K31" s="7" t="s">
        <v>1379</v>
      </c>
      <c r="L31" s="46"/>
      <c r="M31" s="7"/>
      <c r="N31" s="46">
        <v>30</v>
      </c>
      <c r="O31" s="76" t="s">
        <v>1844</v>
      </c>
      <c r="P31" s="76" t="s">
        <v>1845</v>
      </c>
    </row>
    <row r="32" spans="1:16">
      <c r="A32" s="7" t="s">
        <v>1590</v>
      </c>
      <c r="B32" s="7" t="s">
        <v>113</v>
      </c>
      <c r="C32" s="7" t="s">
        <v>161</v>
      </c>
      <c r="D32" s="7" t="s">
        <v>1846</v>
      </c>
      <c r="E32" s="7" t="s">
        <v>367</v>
      </c>
      <c r="F32" s="7"/>
      <c r="G32" s="7" t="s">
        <v>74</v>
      </c>
      <c r="H32" s="7"/>
      <c r="I32" s="7"/>
      <c r="J32" s="7" t="s">
        <v>1592</v>
      </c>
      <c r="K32" s="31" t="s">
        <v>368</v>
      </c>
      <c r="L32" s="46"/>
      <c r="M32" s="7" t="s">
        <v>1593</v>
      </c>
      <c r="N32" s="46">
        <v>31</v>
      </c>
      <c r="O32" s="76" t="s">
        <v>1847</v>
      </c>
      <c r="P32" s="76" t="s">
        <v>1848</v>
      </c>
    </row>
    <row r="33" spans="1:16">
      <c r="A33" s="8" t="s">
        <v>350</v>
      </c>
      <c r="B33" s="8" t="s">
        <v>320</v>
      </c>
      <c r="C33" s="8"/>
      <c r="D33" s="8"/>
      <c r="E33" s="8" t="s">
        <v>351</v>
      </c>
      <c r="F33" s="8">
        <v>100</v>
      </c>
      <c r="G33" s="8" t="s">
        <v>98</v>
      </c>
      <c r="H33" s="8"/>
      <c r="I33" s="8"/>
      <c r="J33" s="8"/>
      <c r="K33" s="8" t="s">
        <v>327</v>
      </c>
      <c r="L33" s="46"/>
      <c r="M33" s="7"/>
      <c r="N33" s="46">
        <v>32</v>
      </c>
      <c r="O33" s="76" t="s">
        <v>1849</v>
      </c>
      <c r="P33" s="76" t="s">
        <v>1850</v>
      </c>
    </row>
    <row r="34" spans="1:16">
      <c r="A34" s="8" t="s">
        <v>354</v>
      </c>
      <c r="B34" s="8" t="s">
        <v>320</v>
      </c>
      <c r="C34" s="8"/>
      <c r="D34" s="8"/>
      <c r="E34" s="8" t="s">
        <v>351</v>
      </c>
      <c r="F34" s="8">
        <v>100</v>
      </c>
      <c r="G34" s="8" t="s">
        <v>98</v>
      </c>
      <c r="H34" s="8"/>
      <c r="I34" s="8"/>
      <c r="J34" s="8"/>
      <c r="K34" s="8" t="s">
        <v>327</v>
      </c>
      <c r="L34" s="46"/>
      <c r="M34" s="7"/>
      <c r="N34" s="46">
        <v>33</v>
      </c>
      <c r="O34" s="76" t="s">
        <v>1851</v>
      </c>
      <c r="P34" s="76" t="s">
        <v>1852</v>
      </c>
    </row>
    <row r="35" spans="1:16">
      <c r="A35" s="8" t="s">
        <v>357</v>
      </c>
      <c r="B35" s="8" t="s">
        <v>320</v>
      </c>
      <c r="C35" s="8"/>
      <c r="D35" s="8"/>
      <c r="E35" s="8" t="s">
        <v>351</v>
      </c>
      <c r="F35" s="8">
        <v>100</v>
      </c>
      <c r="G35" s="8" t="s">
        <v>98</v>
      </c>
      <c r="H35" s="8"/>
      <c r="I35" s="8"/>
      <c r="J35" s="8"/>
      <c r="K35" s="8" t="s">
        <v>327</v>
      </c>
      <c r="L35" s="46"/>
      <c r="M35" s="7"/>
      <c r="N35" s="46">
        <v>34</v>
      </c>
      <c r="O35" s="76" t="s">
        <v>1853</v>
      </c>
      <c r="P35" s="76" t="s">
        <v>1854</v>
      </c>
    </row>
    <row r="36" spans="1:16">
      <c r="A36" s="8" t="s">
        <v>360</v>
      </c>
      <c r="B36" s="8" t="s">
        <v>320</v>
      </c>
      <c r="C36" s="8"/>
      <c r="D36" s="8"/>
      <c r="E36" s="8" t="s">
        <v>351</v>
      </c>
      <c r="F36" s="8">
        <v>100</v>
      </c>
      <c r="G36" s="8" t="s">
        <v>98</v>
      </c>
      <c r="H36" s="8"/>
      <c r="I36" s="8"/>
      <c r="J36" s="8"/>
      <c r="K36" s="8" t="s">
        <v>327</v>
      </c>
      <c r="L36" s="46"/>
      <c r="M36" s="7"/>
      <c r="N36" s="46">
        <v>35</v>
      </c>
      <c r="O36" s="76" t="s">
        <v>1855</v>
      </c>
      <c r="P36" s="76" t="s">
        <v>1856</v>
      </c>
    </row>
    <row r="37" spans="1:16">
      <c r="A37" s="8" t="s">
        <v>363</v>
      </c>
      <c r="B37" s="8" t="s">
        <v>320</v>
      </c>
      <c r="C37" s="8"/>
      <c r="D37" s="8"/>
      <c r="E37" s="8" t="s">
        <v>351</v>
      </c>
      <c r="F37" s="8">
        <v>100</v>
      </c>
      <c r="G37" s="8" t="s">
        <v>98</v>
      </c>
      <c r="H37" s="8"/>
      <c r="I37" s="8"/>
      <c r="J37" s="8"/>
      <c r="K37" s="8" t="s">
        <v>327</v>
      </c>
      <c r="L37" s="46"/>
      <c r="M37" s="7"/>
      <c r="N37" s="46">
        <v>36</v>
      </c>
      <c r="O37" s="76" t="s">
        <v>1857</v>
      </c>
      <c r="P37" s="76" t="s">
        <v>1858</v>
      </c>
    </row>
    <row r="38" spans="1:16">
      <c r="A38" s="8" t="s">
        <v>366</v>
      </c>
      <c r="B38" s="8" t="s">
        <v>320</v>
      </c>
      <c r="C38" s="8"/>
      <c r="D38" s="8"/>
      <c r="E38" s="8" t="s">
        <v>367</v>
      </c>
      <c r="F38" s="8"/>
      <c r="G38" s="8" t="s">
        <v>98</v>
      </c>
      <c r="H38" s="8"/>
      <c r="I38" s="8"/>
      <c r="J38" s="8"/>
      <c r="K38" s="8" t="s">
        <v>368</v>
      </c>
      <c r="L38" s="46"/>
      <c r="M38" s="7"/>
      <c r="N38" s="46">
        <v>37</v>
      </c>
      <c r="O38" s="76" t="s">
        <v>1859</v>
      </c>
      <c r="P38" s="76" t="s">
        <v>1860</v>
      </c>
    </row>
    <row r="39" spans="1:16">
      <c r="A39" s="8" t="s">
        <v>371</v>
      </c>
      <c r="B39" s="8" t="s">
        <v>320</v>
      </c>
      <c r="C39" s="8"/>
      <c r="D39" s="8"/>
      <c r="E39" s="8" t="s">
        <v>367</v>
      </c>
      <c r="F39" s="8"/>
      <c r="G39" s="8" t="s">
        <v>98</v>
      </c>
      <c r="H39" s="8"/>
      <c r="I39" s="8"/>
      <c r="J39" s="8"/>
      <c r="K39" s="8" t="s">
        <v>368</v>
      </c>
      <c r="L39" s="46"/>
      <c r="M39" s="7"/>
      <c r="N39" s="46">
        <v>38</v>
      </c>
      <c r="O39" s="76" t="s">
        <v>1861</v>
      </c>
      <c r="P39" s="76" t="s">
        <v>1862</v>
      </c>
    </row>
    <row r="40" spans="1:16">
      <c r="A40" s="8" t="s">
        <v>374</v>
      </c>
      <c r="B40" s="8" t="s">
        <v>320</v>
      </c>
      <c r="C40" s="8"/>
      <c r="D40" s="8"/>
      <c r="E40" s="8" t="s">
        <v>351</v>
      </c>
      <c r="F40" s="8">
        <v>100</v>
      </c>
      <c r="G40" s="8" t="s">
        <v>98</v>
      </c>
      <c r="H40" s="8"/>
      <c r="I40" s="8"/>
      <c r="J40" s="8"/>
      <c r="K40" s="8" t="s">
        <v>327</v>
      </c>
      <c r="L40" s="46"/>
      <c r="M40" s="7"/>
      <c r="N40" s="46">
        <v>39</v>
      </c>
      <c r="O40" t="s">
        <v>1863</v>
      </c>
      <c r="P40" s="76" t="s">
        <v>1864</v>
      </c>
    </row>
    <row r="42" spans="1:16">
      <c r="A42" s="21" t="s">
        <v>90</v>
      </c>
    </row>
    <row r="43" spans="1:16">
      <c r="A43" s="35" t="s">
        <v>1612</v>
      </c>
    </row>
    <row r="44" spans="1:16">
      <c r="A44" s="36" t="s">
        <v>1613</v>
      </c>
    </row>
    <row r="45" spans="1:16">
      <c r="A45" t="s">
        <v>1614</v>
      </c>
    </row>
    <row r="46" spans="1:16">
      <c r="A46" t="s">
        <v>1615</v>
      </c>
    </row>
    <row r="47" spans="1:16">
      <c r="A47" t="s">
        <v>1616</v>
      </c>
    </row>
    <row r="48" spans="1:16">
      <c r="A48" t="s">
        <v>1617</v>
      </c>
    </row>
    <row r="49" spans="1:1">
      <c r="A49" t="s">
        <v>1618</v>
      </c>
    </row>
    <row r="51" spans="1:1">
      <c r="A51" t="s">
        <v>1865</v>
      </c>
    </row>
    <row r="52" spans="1:1">
      <c r="A52" t="s">
        <v>1866</v>
      </c>
    </row>
    <row r="54" spans="1:1">
      <c r="A54" t="s">
        <v>1867</v>
      </c>
    </row>
  </sheetData>
  <conditionalFormatting sqref="O40">
    <cfRule type="duplicateValues" dxfId="218" priority="5"/>
  </conditionalFormatting>
  <conditionalFormatting sqref="O3:O40">
    <cfRule type="expression" dxfId="217" priority="1">
      <formula>$J3="Y"</formula>
    </cfRule>
    <cfRule type="expression" dxfId="216" priority="2">
      <formula>$H3="Foreign"</formula>
    </cfRule>
    <cfRule type="expression" dxfId="215" priority="3">
      <formula>$H3="Business"</formula>
    </cfRule>
    <cfRule type="expression" dxfId="214" priority="4">
      <formula>$H3="Primary"</formula>
    </cfRule>
  </conditionalFormatting>
  <conditionalFormatting sqref="O3:O40">
    <cfRule type="duplicateValues" dxfId="213" priority="445"/>
  </conditionalFormatting>
  <hyperlinks>
    <hyperlink ref="A44" r:id="rId1" xr:uid="{CDBC86D9-F03E-4793-80EE-B017B725AD87}"/>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4A3DF-8DDE-4658-ABBB-334C836C5B7F}">
  <sheetPr codeName="Sheet50">
    <tabColor rgb="FF7030A0"/>
  </sheetPr>
  <dimension ref="A1:P37"/>
  <sheetViews>
    <sheetView workbookViewId="0">
      <pane xSplit="1" ySplit="2" topLeftCell="B3" activePane="bottomRight" state="frozen"/>
      <selection pane="bottomRight" activeCell="H31" sqref="H31"/>
      <selection pane="bottomLeft" activeCell="A3" sqref="A3"/>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35.7109375" bestFit="1" customWidth="1"/>
    <col min="9" max="9" width="20.7109375" customWidth="1"/>
    <col min="10" max="10" width="54.140625" bestFit="1" customWidth="1"/>
    <col min="11" max="11" width="20.7109375" customWidth="1"/>
    <col min="12" max="12" width="15.7109375" bestFit="1" customWidth="1"/>
    <col min="13" max="13" width="39.42578125" customWidth="1"/>
    <col min="14" max="14" width="17.28515625" bestFit="1" customWidth="1"/>
    <col min="15" max="15" width="38.28515625" bestFit="1" customWidth="1"/>
    <col min="16" max="16" width="42.7109375" bestFit="1" customWidth="1"/>
  </cols>
  <sheetData>
    <row r="1" spans="1:16" ht="60" customHeight="1">
      <c r="A1" s="1" t="s">
        <v>202</v>
      </c>
      <c r="D1" s="2" t="s">
        <v>297</v>
      </c>
      <c r="I1" s="3" t="s">
        <v>298</v>
      </c>
      <c r="J1" s="4" t="s">
        <v>299</v>
      </c>
      <c r="K1" s="19" t="s">
        <v>300</v>
      </c>
      <c r="L1" s="23" t="s">
        <v>301</v>
      </c>
    </row>
    <row r="2" spans="1:16">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c r="A3" s="9" t="s">
        <v>1239</v>
      </c>
      <c r="B3" s="9" t="s">
        <v>113</v>
      </c>
      <c r="C3" s="9" t="s">
        <v>203</v>
      </c>
      <c r="D3" s="9" t="s">
        <v>1868</v>
      </c>
      <c r="E3" s="9" t="s">
        <v>325</v>
      </c>
      <c r="F3" s="9">
        <v>20</v>
      </c>
      <c r="G3" s="9" t="s">
        <v>98</v>
      </c>
      <c r="H3" s="9"/>
      <c r="I3" s="9"/>
      <c r="J3" s="9" t="s">
        <v>1869</v>
      </c>
      <c r="K3" s="9" t="s">
        <v>327</v>
      </c>
      <c r="L3" s="46"/>
      <c r="M3" s="7" t="s">
        <v>1870</v>
      </c>
      <c r="N3" s="46">
        <v>2</v>
      </c>
      <c r="O3" s="76" t="s">
        <v>1871</v>
      </c>
      <c r="P3" s="76" t="s">
        <v>1872</v>
      </c>
    </row>
    <row r="4" spans="1:16">
      <c r="A4" s="9" t="s">
        <v>487</v>
      </c>
      <c r="B4" s="9" t="s">
        <v>113</v>
      </c>
      <c r="C4" s="9" t="s">
        <v>203</v>
      </c>
      <c r="D4" s="9"/>
      <c r="E4" s="9" t="s">
        <v>325</v>
      </c>
      <c r="F4" s="9">
        <v>10</v>
      </c>
      <c r="G4" s="9" t="s">
        <v>98</v>
      </c>
      <c r="H4" s="9"/>
      <c r="I4" s="9"/>
      <c r="J4" s="9" t="s">
        <v>1626</v>
      </c>
      <c r="K4" s="34" t="s">
        <v>327</v>
      </c>
      <c r="L4" s="46"/>
      <c r="M4" s="7"/>
      <c r="N4" s="46">
        <v>3</v>
      </c>
      <c r="O4" s="76" t="s">
        <v>1873</v>
      </c>
      <c r="P4" s="76" t="s">
        <v>1874</v>
      </c>
    </row>
    <row r="5" spans="1:16">
      <c r="A5" s="22" t="s">
        <v>1248</v>
      </c>
      <c r="B5" s="22" t="s">
        <v>60</v>
      </c>
      <c r="C5" s="22" t="s">
        <v>189</v>
      </c>
      <c r="D5" s="22" t="s">
        <v>1248</v>
      </c>
      <c r="E5" s="22" t="s">
        <v>319</v>
      </c>
      <c r="F5" s="22"/>
      <c r="G5" s="22" t="s">
        <v>74</v>
      </c>
      <c r="H5" s="22" t="s">
        <v>1875</v>
      </c>
      <c r="I5" s="22"/>
      <c r="J5" s="22" t="s">
        <v>1869</v>
      </c>
      <c r="K5" s="69">
        <v>-1</v>
      </c>
      <c r="L5" s="46"/>
      <c r="M5" s="7"/>
      <c r="N5" s="46">
        <v>4</v>
      </c>
      <c r="O5" s="76" t="s">
        <v>1876</v>
      </c>
      <c r="P5" s="76" t="s">
        <v>1872</v>
      </c>
    </row>
    <row r="6" spans="1:16">
      <c r="A6" s="7" t="s">
        <v>1230</v>
      </c>
      <c r="B6" s="7" t="s">
        <v>113</v>
      </c>
      <c r="C6" s="7" t="s">
        <v>203</v>
      </c>
      <c r="D6" s="7"/>
      <c r="E6" s="7" t="s">
        <v>325</v>
      </c>
      <c r="F6" s="7">
        <v>20</v>
      </c>
      <c r="G6" s="7" t="s">
        <v>74</v>
      </c>
      <c r="H6" s="7" t="s">
        <v>1877</v>
      </c>
      <c r="I6" s="7"/>
      <c r="J6" s="7" t="s">
        <v>1878</v>
      </c>
      <c r="K6" s="31" t="s">
        <v>327</v>
      </c>
      <c r="L6" s="46"/>
      <c r="M6" s="7"/>
      <c r="N6" s="46">
        <v>5</v>
      </c>
      <c r="O6" s="76" t="s">
        <v>1879</v>
      </c>
      <c r="P6" s="76" t="s">
        <v>1880</v>
      </c>
    </row>
    <row r="7" spans="1:16">
      <c r="A7" s="22" t="s">
        <v>1235</v>
      </c>
      <c r="B7" s="22" t="s">
        <v>60</v>
      </c>
      <c r="C7" s="22" t="s">
        <v>118</v>
      </c>
      <c r="D7" s="22" t="s">
        <v>1235</v>
      </c>
      <c r="E7" s="22" t="s">
        <v>319</v>
      </c>
      <c r="F7" s="22"/>
      <c r="G7" s="22" t="s">
        <v>74</v>
      </c>
      <c r="H7" s="22" t="s">
        <v>1881</v>
      </c>
      <c r="I7" s="22"/>
      <c r="J7" s="22" t="s">
        <v>1878</v>
      </c>
      <c r="K7" s="69">
        <v>-1</v>
      </c>
      <c r="L7" s="46"/>
      <c r="M7" s="7"/>
      <c r="N7" s="46">
        <v>6</v>
      </c>
      <c r="O7" s="76" t="s">
        <v>1882</v>
      </c>
      <c r="P7" s="76" t="s">
        <v>1883</v>
      </c>
    </row>
    <row r="8" spans="1:16">
      <c r="A8" s="7" t="s">
        <v>1633</v>
      </c>
      <c r="B8" s="7" t="s">
        <v>113</v>
      </c>
      <c r="C8" s="7" t="s">
        <v>203</v>
      </c>
      <c r="D8" s="7" t="s">
        <v>1634</v>
      </c>
      <c r="E8" s="7" t="s">
        <v>1635</v>
      </c>
      <c r="F8" s="7" t="s">
        <v>1636</v>
      </c>
      <c r="G8" s="7" t="s">
        <v>74</v>
      </c>
      <c r="H8" s="7"/>
      <c r="I8" s="7"/>
      <c r="J8" s="7" t="s">
        <v>1884</v>
      </c>
      <c r="K8" s="7" t="s">
        <v>1379</v>
      </c>
      <c r="L8" s="46"/>
      <c r="M8" s="7"/>
      <c r="N8" s="46">
        <v>7</v>
      </c>
      <c r="O8" s="76" t="s">
        <v>1885</v>
      </c>
      <c r="P8" s="76" t="s">
        <v>1886</v>
      </c>
    </row>
    <row r="9" spans="1:16">
      <c r="A9" s="7" t="s">
        <v>1640</v>
      </c>
      <c r="B9" s="7" t="s">
        <v>113</v>
      </c>
      <c r="C9" s="7" t="s">
        <v>203</v>
      </c>
      <c r="D9" s="7" t="s">
        <v>1641</v>
      </c>
      <c r="E9" s="7" t="s">
        <v>367</v>
      </c>
      <c r="F9" s="7"/>
      <c r="G9" s="7" t="s">
        <v>74</v>
      </c>
      <c r="H9" s="7"/>
      <c r="I9" s="7"/>
      <c r="J9" s="7" t="s">
        <v>1887</v>
      </c>
      <c r="K9" s="7" t="s">
        <v>368</v>
      </c>
      <c r="L9" s="46"/>
      <c r="M9" s="7"/>
      <c r="N9" s="46">
        <v>8</v>
      </c>
      <c r="O9" s="76" t="s">
        <v>1888</v>
      </c>
      <c r="P9" s="76" t="s">
        <v>1889</v>
      </c>
    </row>
    <row r="10" spans="1:16">
      <c r="A10" s="7" t="s">
        <v>1645</v>
      </c>
      <c r="B10" s="7" t="s">
        <v>113</v>
      </c>
      <c r="C10" s="7" t="s">
        <v>203</v>
      </c>
      <c r="D10" s="7" t="s">
        <v>1646</v>
      </c>
      <c r="E10" s="7" t="s">
        <v>1635</v>
      </c>
      <c r="F10" s="7" t="s">
        <v>1636</v>
      </c>
      <c r="G10" s="7" t="s">
        <v>74</v>
      </c>
      <c r="H10" s="7"/>
      <c r="I10" s="7"/>
      <c r="J10" s="7" t="s">
        <v>1890</v>
      </c>
      <c r="K10" s="7" t="s">
        <v>1379</v>
      </c>
      <c r="L10" s="46"/>
      <c r="M10" s="7"/>
      <c r="N10" s="46">
        <v>9</v>
      </c>
      <c r="O10" s="76" t="s">
        <v>1891</v>
      </c>
      <c r="P10" s="76" t="s">
        <v>1892</v>
      </c>
    </row>
    <row r="11" spans="1:16">
      <c r="A11" s="7" t="s">
        <v>1893</v>
      </c>
      <c r="B11" s="7" t="s">
        <v>113</v>
      </c>
      <c r="C11" s="7" t="s">
        <v>203</v>
      </c>
      <c r="D11" s="7" t="s">
        <v>1894</v>
      </c>
      <c r="E11" s="7" t="s">
        <v>1635</v>
      </c>
      <c r="F11" s="7" t="s">
        <v>1636</v>
      </c>
      <c r="G11" s="7" t="s">
        <v>74</v>
      </c>
      <c r="H11" s="7"/>
      <c r="I11" s="7"/>
      <c r="J11" s="7" t="s">
        <v>1895</v>
      </c>
      <c r="K11" s="7" t="s">
        <v>1379</v>
      </c>
      <c r="L11" s="46"/>
      <c r="M11" s="7" t="s">
        <v>1896</v>
      </c>
      <c r="N11" s="46">
        <v>10</v>
      </c>
      <c r="O11" s="76" t="s">
        <v>1897</v>
      </c>
      <c r="P11" s="76" t="s">
        <v>1898</v>
      </c>
    </row>
    <row r="12" spans="1:16">
      <c r="A12" s="7" t="s">
        <v>1650</v>
      </c>
      <c r="B12" s="7" t="s">
        <v>113</v>
      </c>
      <c r="C12" s="7" t="s">
        <v>203</v>
      </c>
      <c r="D12" s="7" t="s">
        <v>1651</v>
      </c>
      <c r="E12" s="7" t="s">
        <v>367</v>
      </c>
      <c r="F12" s="7"/>
      <c r="G12" s="7" t="s">
        <v>74</v>
      </c>
      <c r="H12" s="7"/>
      <c r="I12" s="7"/>
      <c r="J12" s="7" t="s">
        <v>1899</v>
      </c>
      <c r="K12" s="7" t="s">
        <v>368</v>
      </c>
      <c r="L12" s="46"/>
      <c r="M12" s="7"/>
      <c r="N12" s="46">
        <v>11</v>
      </c>
      <c r="O12" s="76" t="s">
        <v>1900</v>
      </c>
      <c r="P12" s="76" t="s">
        <v>1901</v>
      </c>
    </row>
    <row r="13" spans="1:16">
      <c r="A13" s="7" t="s">
        <v>1655</v>
      </c>
      <c r="B13" s="7" t="s">
        <v>113</v>
      </c>
      <c r="C13" s="7" t="s">
        <v>203</v>
      </c>
      <c r="D13" s="7" t="s">
        <v>1656</v>
      </c>
      <c r="E13" s="7" t="s">
        <v>1635</v>
      </c>
      <c r="F13" s="7" t="s">
        <v>1636</v>
      </c>
      <c r="G13" s="7" t="s">
        <v>74</v>
      </c>
      <c r="H13" s="7"/>
      <c r="I13" s="7"/>
      <c r="J13" s="7" t="s">
        <v>1902</v>
      </c>
      <c r="K13" s="7" t="s">
        <v>1379</v>
      </c>
      <c r="L13" s="46"/>
      <c r="M13" s="7"/>
      <c r="N13" s="46">
        <v>12</v>
      </c>
      <c r="O13" s="76" t="s">
        <v>1903</v>
      </c>
      <c r="P13" s="76" t="s">
        <v>1904</v>
      </c>
    </row>
    <row r="14" spans="1:16">
      <c r="A14" s="7" t="s">
        <v>1660</v>
      </c>
      <c r="B14" s="7" t="s">
        <v>113</v>
      </c>
      <c r="C14" s="7" t="s">
        <v>203</v>
      </c>
      <c r="D14" s="7" t="s">
        <v>1661</v>
      </c>
      <c r="E14" s="7" t="s">
        <v>1635</v>
      </c>
      <c r="F14" s="7" t="s">
        <v>1636</v>
      </c>
      <c r="G14" s="7" t="s">
        <v>74</v>
      </c>
      <c r="H14" s="7"/>
      <c r="I14" s="7"/>
      <c r="J14" s="7" t="s">
        <v>1905</v>
      </c>
      <c r="K14" s="7" t="s">
        <v>1379</v>
      </c>
      <c r="L14" s="46"/>
      <c r="M14" s="7"/>
      <c r="N14" s="46">
        <v>13</v>
      </c>
      <c r="O14" s="76" t="s">
        <v>1906</v>
      </c>
      <c r="P14" s="76" t="s">
        <v>1907</v>
      </c>
    </row>
    <row r="15" spans="1:16">
      <c r="A15" s="7" t="s">
        <v>1665</v>
      </c>
      <c r="B15" s="7" t="s">
        <v>113</v>
      </c>
      <c r="C15" s="7" t="s">
        <v>203</v>
      </c>
      <c r="D15" s="7" t="s">
        <v>1666</v>
      </c>
      <c r="E15" s="7" t="s">
        <v>1635</v>
      </c>
      <c r="F15" s="7" t="s">
        <v>1636</v>
      </c>
      <c r="G15" s="7" t="s">
        <v>74</v>
      </c>
      <c r="H15" s="7"/>
      <c r="I15" s="7"/>
      <c r="J15" s="7" t="s">
        <v>1908</v>
      </c>
      <c r="K15" s="7" t="s">
        <v>1379</v>
      </c>
      <c r="L15" s="46"/>
      <c r="M15" s="7"/>
      <c r="N15" s="46">
        <v>14</v>
      </c>
      <c r="O15" s="76" t="s">
        <v>1909</v>
      </c>
      <c r="P15" s="76" t="s">
        <v>1910</v>
      </c>
    </row>
    <row r="16" spans="1:16">
      <c r="A16" s="22" t="s">
        <v>1276</v>
      </c>
      <c r="B16" s="22" t="s">
        <v>66</v>
      </c>
      <c r="C16" s="22" t="s">
        <v>158</v>
      </c>
      <c r="D16" s="22" t="s">
        <v>504</v>
      </c>
      <c r="E16" s="22" t="s">
        <v>325</v>
      </c>
      <c r="F16" s="22">
        <v>3</v>
      </c>
      <c r="G16" s="22" t="s">
        <v>98</v>
      </c>
      <c r="H16" s="22" t="s">
        <v>1911</v>
      </c>
      <c r="I16" s="22"/>
      <c r="J16" s="22" t="s">
        <v>1672</v>
      </c>
      <c r="K16" s="22" t="s">
        <v>327</v>
      </c>
      <c r="L16" s="46"/>
      <c r="M16" s="7"/>
      <c r="N16" s="46">
        <v>15</v>
      </c>
      <c r="O16" s="76" t="s">
        <v>1912</v>
      </c>
      <c r="P16" s="76" t="s">
        <v>1913</v>
      </c>
    </row>
    <row r="17" spans="1:16">
      <c r="A17" s="7" t="s">
        <v>1590</v>
      </c>
      <c r="B17" s="7" t="s">
        <v>113</v>
      </c>
      <c r="C17" s="7" t="s">
        <v>203</v>
      </c>
      <c r="D17" s="7" t="s">
        <v>1675</v>
      </c>
      <c r="E17" s="7" t="s">
        <v>367</v>
      </c>
      <c r="F17" s="7"/>
      <c r="G17" s="7" t="s">
        <v>74</v>
      </c>
      <c r="H17" s="7"/>
      <c r="I17" s="7"/>
      <c r="J17" s="7" t="s">
        <v>1676</v>
      </c>
      <c r="K17" s="31" t="s">
        <v>368</v>
      </c>
      <c r="L17" s="46"/>
      <c r="M17" s="7"/>
      <c r="N17" s="46">
        <v>16</v>
      </c>
      <c r="O17" s="76" t="s">
        <v>1914</v>
      </c>
      <c r="P17" s="76" t="s">
        <v>1915</v>
      </c>
    </row>
    <row r="18" spans="1:16">
      <c r="A18" s="8" t="s">
        <v>350</v>
      </c>
      <c r="B18" s="8" t="s">
        <v>320</v>
      </c>
      <c r="C18" s="8"/>
      <c r="D18" s="8"/>
      <c r="E18" s="8" t="s">
        <v>351</v>
      </c>
      <c r="F18" s="8">
        <v>100</v>
      </c>
      <c r="G18" s="8" t="s">
        <v>98</v>
      </c>
      <c r="H18" s="8"/>
      <c r="I18" s="8"/>
      <c r="J18" s="8"/>
      <c r="K18" s="8" t="s">
        <v>327</v>
      </c>
      <c r="L18" s="46"/>
      <c r="M18" s="7"/>
      <c r="N18" s="46">
        <v>17</v>
      </c>
      <c r="O18" s="76" t="s">
        <v>1916</v>
      </c>
      <c r="P18" s="76" t="s">
        <v>1917</v>
      </c>
    </row>
    <row r="19" spans="1:16">
      <c r="A19" s="8" t="s">
        <v>354</v>
      </c>
      <c r="B19" s="8" t="s">
        <v>320</v>
      </c>
      <c r="C19" s="8"/>
      <c r="D19" s="8"/>
      <c r="E19" s="8" t="s">
        <v>351</v>
      </c>
      <c r="F19" s="8">
        <v>100</v>
      </c>
      <c r="G19" s="8" t="s">
        <v>98</v>
      </c>
      <c r="H19" s="8"/>
      <c r="I19" s="8"/>
      <c r="J19" s="8"/>
      <c r="K19" s="8" t="s">
        <v>327</v>
      </c>
      <c r="L19" s="46"/>
      <c r="M19" s="7"/>
      <c r="N19" s="46">
        <v>18</v>
      </c>
      <c r="O19" s="76" t="s">
        <v>1918</v>
      </c>
      <c r="P19" s="76" t="s">
        <v>1919</v>
      </c>
    </row>
    <row r="20" spans="1:16">
      <c r="A20" s="8" t="s">
        <v>357</v>
      </c>
      <c r="B20" s="8" t="s">
        <v>320</v>
      </c>
      <c r="C20" s="8"/>
      <c r="D20" s="8"/>
      <c r="E20" s="8" t="s">
        <v>351</v>
      </c>
      <c r="F20" s="8">
        <v>100</v>
      </c>
      <c r="G20" s="8" t="s">
        <v>98</v>
      </c>
      <c r="H20" s="8"/>
      <c r="I20" s="8"/>
      <c r="J20" s="8"/>
      <c r="K20" s="8" t="s">
        <v>327</v>
      </c>
      <c r="L20" s="46"/>
      <c r="M20" s="7"/>
      <c r="N20" s="46">
        <v>19</v>
      </c>
      <c r="O20" s="76" t="s">
        <v>1920</v>
      </c>
      <c r="P20" s="76" t="s">
        <v>1921</v>
      </c>
    </row>
    <row r="21" spans="1:16">
      <c r="A21" s="8" t="s">
        <v>360</v>
      </c>
      <c r="B21" s="8" t="s">
        <v>320</v>
      </c>
      <c r="C21" s="8"/>
      <c r="D21" s="8"/>
      <c r="E21" s="8" t="s">
        <v>351</v>
      </c>
      <c r="F21" s="8">
        <v>100</v>
      </c>
      <c r="G21" s="8" t="s">
        <v>98</v>
      </c>
      <c r="H21" s="8"/>
      <c r="I21" s="8"/>
      <c r="J21" s="8"/>
      <c r="K21" s="8" t="s">
        <v>327</v>
      </c>
      <c r="L21" s="46"/>
      <c r="M21" s="7"/>
      <c r="N21" s="46">
        <v>20</v>
      </c>
      <c r="O21" s="76" t="s">
        <v>1922</v>
      </c>
      <c r="P21" s="76" t="s">
        <v>1923</v>
      </c>
    </row>
    <row r="22" spans="1:16">
      <c r="A22" s="8" t="s">
        <v>363</v>
      </c>
      <c r="B22" s="8" t="s">
        <v>320</v>
      </c>
      <c r="C22" s="8"/>
      <c r="D22" s="8"/>
      <c r="E22" s="8" t="s">
        <v>351</v>
      </c>
      <c r="F22" s="8">
        <v>100</v>
      </c>
      <c r="G22" s="8" t="s">
        <v>98</v>
      </c>
      <c r="H22" s="8"/>
      <c r="I22" s="8"/>
      <c r="J22" s="8"/>
      <c r="K22" s="8" t="s">
        <v>327</v>
      </c>
      <c r="L22" s="46"/>
      <c r="M22" s="7"/>
      <c r="N22" s="46">
        <v>21</v>
      </c>
      <c r="O22" s="76" t="s">
        <v>1924</v>
      </c>
      <c r="P22" s="76" t="s">
        <v>1925</v>
      </c>
    </row>
    <row r="23" spans="1:16">
      <c r="A23" s="8" t="s">
        <v>366</v>
      </c>
      <c r="B23" s="8" t="s">
        <v>320</v>
      </c>
      <c r="C23" s="8"/>
      <c r="D23" s="8"/>
      <c r="E23" s="8" t="s">
        <v>367</v>
      </c>
      <c r="F23" s="8"/>
      <c r="G23" s="8" t="s">
        <v>98</v>
      </c>
      <c r="H23" s="8"/>
      <c r="I23" s="8"/>
      <c r="J23" s="8"/>
      <c r="K23" s="8" t="s">
        <v>368</v>
      </c>
      <c r="L23" s="46"/>
      <c r="M23" s="7"/>
      <c r="N23" s="46">
        <v>22</v>
      </c>
      <c r="O23" s="76" t="s">
        <v>1926</v>
      </c>
      <c r="P23" s="76" t="s">
        <v>1927</v>
      </c>
    </row>
    <row r="24" spans="1:16">
      <c r="A24" s="8" t="s">
        <v>371</v>
      </c>
      <c r="B24" s="8" t="s">
        <v>320</v>
      </c>
      <c r="C24" s="8"/>
      <c r="D24" s="8"/>
      <c r="E24" s="8" t="s">
        <v>367</v>
      </c>
      <c r="F24" s="8"/>
      <c r="G24" s="8" t="s">
        <v>98</v>
      </c>
      <c r="H24" s="8"/>
      <c r="I24" s="8"/>
      <c r="J24" s="8"/>
      <c r="K24" s="8" t="s">
        <v>368</v>
      </c>
      <c r="L24" s="46"/>
      <c r="M24" s="7"/>
      <c r="N24" s="46">
        <v>23</v>
      </c>
      <c r="O24" s="76" t="s">
        <v>1928</v>
      </c>
      <c r="P24" s="76" t="s">
        <v>1929</v>
      </c>
    </row>
    <row r="25" spans="1:16">
      <c r="A25" s="8" t="s">
        <v>374</v>
      </c>
      <c r="B25" s="8" t="s">
        <v>320</v>
      </c>
      <c r="C25" s="8"/>
      <c r="D25" s="8"/>
      <c r="E25" s="8" t="s">
        <v>351</v>
      </c>
      <c r="F25" s="8">
        <v>100</v>
      </c>
      <c r="G25" s="8" t="s">
        <v>98</v>
      </c>
      <c r="H25" s="8"/>
      <c r="I25" s="8"/>
      <c r="J25" s="8"/>
      <c r="K25" s="8" t="s">
        <v>327</v>
      </c>
      <c r="L25" s="46"/>
      <c r="M25" s="7"/>
      <c r="N25" s="46">
        <v>24</v>
      </c>
      <c r="O25" s="76" t="s">
        <v>1930</v>
      </c>
      <c r="P25" s="76" t="s">
        <v>1931</v>
      </c>
    </row>
    <row r="27" spans="1:16">
      <c r="A27" s="21" t="s">
        <v>90</v>
      </c>
    </row>
    <row r="28" spans="1:16">
      <c r="A28" s="35" t="s">
        <v>1612</v>
      </c>
    </row>
    <row r="29" spans="1:16">
      <c r="A29" s="36" t="s">
        <v>1695</v>
      </c>
    </row>
    <row r="31" spans="1:16">
      <c r="A31" t="s">
        <v>1696</v>
      </c>
    </row>
    <row r="32" spans="1:16">
      <c r="A32" s="36" t="s">
        <v>1697</v>
      </c>
    </row>
    <row r="34" spans="1:1">
      <c r="A34" t="s">
        <v>1614</v>
      </c>
    </row>
    <row r="36" spans="1:1">
      <c r="A36" s="21" t="s">
        <v>1698</v>
      </c>
    </row>
    <row r="37" spans="1:1">
      <c r="A37" s="35" t="s">
        <v>1932</v>
      </c>
    </row>
  </sheetData>
  <conditionalFormatting sqref="O3:O25">
    <cfRule type="expression" dxfId="212" priority="1">
      <formula>$J3="Y"</formula>
    </cfRule>
    <cfRule type="expression" dxfId="211" priority="2">
      <formula>$H3="Foreign"</formula>
    </cfRule>
    <cfRule type="expression" dxfId="210" priority="3">
      <formula>$H3="Business"</formula>
    </cfRule>
    <cfRule type="expression" dxfId="209" priority="4">
      <formula>$H3="Primary"</formula>
    </cfRule>
  </conditionalFormatting>
  <conditionalFormatting sqref="O3:O6">
    <cfRule type="duplicateValues" dxfId="208" priority="446"/>
  </conditionalFormatting>
  <conditionalFormatting sqref="O3:O25">
    <cfRule type="duplicateValues" dxfId="207" priority="447"/>
  </conditionalFormatting>
  <hyperlinks>
    <hyperlink ref="A29" r:id="rId1" xr:uid="{DA167EE8-611C-4CD7-B122-E81CB93866EE}"/>
    <hyperlink ref="A32" r:id="rId2" xr:uid="{416B5ABF-4B03-4C64-8043-EABF02210237}"/>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4AFB1-97EB-478B-ADED-2F7A0F0419E0}">
  <sheetPr codeName="Sheet47">
    <tabColor rgb="FF7030A0"/>
  </sheetPr>
  <dimension ref="A1:P40"/>
  <sheetViews>
    <sheetView workbookViewId="0">
      <pane xSplit="1" ySplit="2" topLeftCell="B3" activePane="bottomRight" state="frozen"/>
      <selection pane="bottomRight" activeCell="F10" sqref="F10"/>
      <selection pane="bottomLeft" activeCell="A3" sqref="A3"/>
      <selection pane="topRight" activeCell="B1" sqref="B1"/>
    </sheetView>
  </sheetViews>
  <sheetFormatPr defaultRowHeight="14.45"/>
  <cols>
    <col min="1" max="1" width="33.42578125" customWidth="1"/>
    <col min="2" max="2" width="20.7109375" customWidth="1"/>
    <col min="3" max="3" width="23.5703125" customWidth="1"/>
    <col min="4" max="4" width="35.28515625" customWidth="1"/>
    <col min="5" max="7" width="15.7109375" customWidth="1"/>
    <col min="8" max="8" width="58.7109375" bestFit="1" customWidth="1"/>
    <col min="9" max="9" width="20.7109375" customWidth="1"/>
    <col min="10" max="10" width="127.85546875" bestFit="1" customWidth="1"/>
    <col min="11" max="11" width="20.7109375" customWidth="1"/>
    <col min="12" max="12" width="15.7109375" bestFit="1" customWidth="1"/>
    <col min="13" max="13" width="39.28515625" customWidth="1"/>
    <col min="14" max="14" width="17.28515625" bestFit="1" customWidth="1"/>
    <col min="15" max="15" width="38.42578125" bestFit="1" customWidth="1"/>
    <col min="16" max="16" width="32.28515625" bestFit="1" customWidth="1"/>
  </cols>
  <sheetData>
    <row r="1" spans="1:16" ht="60" customHeight="1">
      <c r="A1" s="1" t="s">
        <v>288</v>
      </c>
      <c r="D1" s="2" t="s">
        <v>297</v>
      </c>
      <c r="I1" s="3" t="s">
        <v>298</v>
      </c>
      <c r="J1" s="4" t="s">
        <v>299</v>
      </c>
      <c r="K1" s="19" t="s">
        <v>300</v>
      </c>
      <c r="L1" s="23" t="s">
        <v>301</v>
      </c>
    </row>
    <row r="2" spans="1:16">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c r="A3" s="9" t="s">
        <v>1933</v>
      </c>
      <c r="B3" s="9" t="s">
        <v>113</v>
      </c>
      <c r="C3" s="9" t="s">
        <v>289</v>
      </c>
      <c r="D3" s="9" t="s">
        <v>1934</v>
      </c>
      <c r="E3" s="9" t="s">
        <v>367</v>
      </c>
      <c r="F3" s="9"/>
      <c r="G3" s="9" t="s">
        <v>98</v>
      </c>
      <c r="H3" s="9"/>
      <c r="I3" s="9"/>
      <c r="J3" s="9" t="s">
        <v>1935</v>
      </c>
      <c r="K3" s="98" t="s">
        <v>368</v>
      </c>
      <c r="L3" s="46"/>
      <c r="M3" s="7" t="s">
        <v>1936</v>
      </c>
      <c r="N3" s="46">
        <v>2</v>
      </c>
      <c r="O3" s="76" t="s">
        <v>1937</v>
      </c>
      <c r="P3" s="76" t="s">
        <v>1938</v>
      </c>
    </row>
    <row r="4" spans="1:16">
      <c r="A4" s="9" t="s">
        <v>1281</v>
      </c>
      <c r="B4" s="9" t="s">
        <v>113</v>
      </c>
      <c r="C4" s="9" t="s">
        <v>289</v>
      </c>
      <c r="D4" s="9" t="s">
        <v>1282</v>
      </c>
      <c r="E4" s="9" t="s">
        <v>351</v>
      </c>
      <c r="F4" s="9">
        <v>20</v>
      </c>
      <c r="G4" s="9" t="s">
        <v>98</v>
      </c>
      <c r="H4" s="9"/>
      <c r="I4" s="9"/>
      <c r="J4" s="9" t="s">
        <v>1939</v>
      </c>
      <c r="K4" s="9" t="s">
        <v>327</v>
      </c>
      <c r="L4" s="46"/>
      <c r="M4" s="7" t="s">
        <v>1940</v>
      </c>
      <c r="N4" s="46">
        <v>3</v>
      </c>
      <c r="O4" s="76" t="s">
        <v>1941</v>
      </c>
      <c r="P4" s="76" t="s">
        <v>1942</v>
      </c>
    </row>
    <row r="5" spans="1:16">
      <c r="A5" s="9" t="s">
        <v>487</v>
      </c>
      <c r="B5" s="9" t="s">
        <v>113</v>
      </c>
      <c r="C5" s="9" t="s">
        <v>289</v>
      </c>
      <c r="D5" s="9" t="s">
        <v>1943</v>
      </c>
      <c r="E5" s="9" t="s">
        <v>325</v>
      </c>
      <c r="F5" s="9">
        <v>10</v>
      </c>
      <c r="G5" s="9" t="s">
        <v>98</v>
      </c>
      <c r="H5" s="9"/>
      <c r="I5" s="9"/>
      <c r="J5" s="9" t="s">
        <v>1944</v>
      </c>
      <c r="K5" s="9" t="s">
        <v>327</v>
      </c>
      <c r="L5" s="46"/>
      <c r="M5" s="7" t="s">
        <v>1945</v>
      </c>
      <c r="N5" s="46">
        <v>4</v>
      </c>
      <c r="O5" s="76" t="s">
        <v>1946</v>
      </c>
      <c r="P5" s="76" t="s">
        <v>1947</v>
      </c>
    </row>
    <row r="6" spans="1:16">
      <c r="A6" s="22" t="s">
        <v>1292</v>
      </c>
      <c r="B6" s="22" t="s">
        <v>60</v>
      </c>
      <c r="C6" s="22" t="s">
        <v>247</v>
      </c>
      <c r="D6" s="22" t="s">
        <v>1292</v>
      </c>
      <c r="E6" s="22" t="s">
        <v>319</v>
      </c>
      <c r="F6" s="22"/>
      <c r="G6" s="22" t="s">
        <v>74</v>
      </c>
      <c r="H6" s="22" t="s">
        <v>1948</v>
      </c>
      <c r="I6" s="22"/>
      <c r="J6" s="22"/>
      <c r="K6" s="22">
        <v>-1</v>
      </c>
      <c r="L6" s="46"/>
      <c r="M6" s="7"/>
      <c r="N6" s="46"/>
      <c r="O6" s="76" t="s">
        <v>1949</v>
      </c>
      <c r="P6" s="76" t="s">
        <v>1950</v>
      </c>
    </row>
    <row r="7" spans="1:16">
      <c r="A7" s="83" t="s">
        <v>1951</v>
      </c>
      <c r="B7" s="7" t="s">
        <v>113</v>
      </c>
      <c r="C7" s="7" t="s">
        <v>289</v>
      </c>
      <c r="D7" s="7" t="s">
        <v>1952</v>
      </c>
      <c r="E7" s="7" t="s">
        <v>325</v>
      </c>
      <c r="F7" s="7">
        <v>5</v>
      </c>
      <c r="G7" s="7" t="s">
        <v>74</v>
      </c>
      <c r="H7" s="7" t="s">
        <v>1384</v>
      </c>
      <c r="I7" s="7"/>
      <c r="J7" s="7" t="s">
        <v>1953</v>
      </c>
      <c r="K7" s="7" t="s">
        <v>327</v>
      </c>
      <c r="L7" s="46"/>
      <c r="M7" s="7"/>
      <c r="N7" s="46">
        <v>5</v>
      </c>
      <c r="O7" s="76" t="s">
        <v>1954</v>
      </c>
      <c r="P7" s="76" t="s">
        <v>1955</v>
      </c>
    </row>
    <row r="8" spans="1:16">
      <c r="A8" s="22" t="s">
        <v>1072</v>
      </c>
      <c r="B8" s="22" t="s">
        <v>66</v>
      </c>
      <c r="C8" s="22" t="s">
        <v>270</v>
      </c>
      <c r="D8" s="22" t="s">
        <v>1956</v>
      </c>
      <c r="E8" s="22" t="s">
        <v>319</v>
      </c>
      <c r="F8" s="22"/>
      <c r="G8" s="22" t="s">
        <v>74</v>
      </c>
      <c r="H8" s="22" t="s">
        <v>1957</v>
      </c>
      <c r="I8" s="22"/>
      <c r="J8" s="22" t="s">
        <v>1958</v>
      </c>
      <c r="K8" s="22">
        <v>-1</v>
      </c>
      <c r="L8" s="46"/>
      <c r="M8" s="7"/>
      <c r="N8" s="46">
        <v>6</v>
      </c>
      <c r="O8" s="76" t="s">
        <v>1959</v>
      </c>
      <c r="P8" s="76" t="s">
        <v>1960</v>
      </c>
    </row>
    <row r="9" spans="1:16">
      <c r="A9" s="22" t="s">
        <v>927</v>
      </c>
      <c r="B9" s="22" t="s">
        <v>66</v>
      </c>
      <c r="C9" s="22" t="s">
        <v>236</v>
      </c>
      <c r="D9" s="22" t="s">
        <v>1961</v>
      </c>
      <c r="E9" s="22" t="s">
        <v>319</v>
      </c>
      <c r="F9" s="22"/>
      <c r="G9" s="22" t="s">
        <v>74</v>
      </c>
      <c r="H9" s="22" t="s">
        <v>1962</v>
      </c>
      <c r="I9" s="22"/>
      <c r="J9" s="22" t="s">
        <v>1963</v>
      </c>
      <c r="K9" s="22">
        <v>-1</v>
      </c>
      <c r="L9" s="46"/>
      <c r="M9" s="7"/>
      <c r="N9" s="46">
        <v>7</v>
      </c>
      <c r="O9" s="76" t="s">
        <v>1964</v>
      </c>
      <c r="P9" s="76" t="s">
        <v>1965</v>
      </c>
    </row>
    <row r="10" spans="1:16">
      <c r="A10" s="22" t="s">
        <v>1103</v>
      </c>
      <c r="B10" s="22" t="s">
        <v>66</v>
      </c>
      <c r="C10" s="22" t="s">
        <v>281</v>
      </c>
      <c r="D10" s="22" t="s">
        <v>1966</v>
      </c>
      <c r="E10" s="22" t="s">
        <v>319</v>
      </c>
      <c r="F10" s="22"/>
      <c r="G10" s="22" t="s">
        <v>74</v>
      </c>
      <c r="H10" s="22" t="s">
        <v>1967</v>
      </c>
      <c r="I10" s="22"/>
      <c r="J10" s="22" t="s">
        <v>1968</v>
      </c>
      <c r="K10" s="22">
        <v>-1</v>
      </c>
      <c r="L10" s="46"/>
      <c r="M10" s="7" t="s">
        <v>1969</v>
      </c>
      <c r="N10" s="46">
        <v>8</v>
      </c>
      <c r="O10" s="76" t="s">
        <v>1970</v>
      </c>
      <c r="P10" s="76" t="s">
        <v>1971</v>
      </c>
    </row>
    <row r="11" spans="1:16">
      <c r="A11" s="22" t="s">
        <v>619</v>
      </c>
      <c r="B11" s="22" t="s">
        <v>66</v>
      </c>
      <c r="C11" s="22" t="s">
        <v>170</v>
      </c>
      <c r="D11" s="22" t="s">
        <v>1972</v>
      </c>
      <c r="E11" s="22" t="s">
        <v>319</v>
      </c>
      <c r="F11" s="22"/>
      <c r="G11" s="22" t="s">
        <v>74</v>
      </c>
      <c r="H11" s="22" t="s">
        <v>1973</v>
      </c>
      <c r="I11" s="22"/>
      <c r="J11" s="22" t="s">
        <v>1974</v>
      </c>
      <c r="K11" s="22">
        <v>-1</v>
      </c>
      <c r="L11" s="46"/>
      <c r="M11" s="7"/>
      <c r="N11" s="46">
        <v>9</v>
      </c>
      <c r="O11" s="76" t="s">
        <v>1975</v>
      </c>
      <c r="P11" s="76" t="s">
        <v>1976</v>
      </c>
    </row>
    <row r="12" spans="1:16">
      <c r="A12" s="22" t="s">
        <v>318</v>
      </c>
      <c r="B12" s="22" t="s">
        <v>66</v>
      </c>
      <c r="C12" s="22" t="s">
        <v>107</v>
      </c>
      <c r="D12" s="22" t="s">
        <v>1977</v>
      </c>
      <c r="E12" s="22" t="s">
        <v>319</v>
      </c>
      <c r="F12" s="22"/>
      <c r="G12" s="22" t="s">
        <v>74</v>
      </c>
      <c r="H12" s="22" t="s">
        <v>1978</v>
      </c>
      <c r="I12" s="22"/>
      <c r="J12" s="22" t="s">
        <v>1979</v>
      </c>
      <c r="K12" s="22">
        <v>-1</v>
      </c>
      <c r="L12" s="46"/>
      <c r="M12" s="7"/>
      <c r="N12" s="46">
        <v>10</v>
      </c>
      <c r="O12" s="76" t="s">
        <v>1980</v>
      </c>
      <c r="P12" s="76" t="s">
        <v>1981</v>
      </c>
    </row>
    <row r="13" spans="1:16">
      <c r="A13" s="7" t="s">
        <v>1982</v>
      </c>
      <c r="B13" s="7" t="s">
        <v>113</v>
      </c>
      <c r="C13" s="7" t="s">
        <v>289</v>
      </c>
      <c r="D13" s="7" t="s">
        <v>1983</v>
      </c>
      <c r="E13" s="7" t="s">
        <v>1377</v>
      </c>
      <c r="F13" s="7"/>
      <c r="G13" s="7" t="s">
        <v>74</v>
      </c>
      <c r="H13" s="7"/>
      <c r="I13" s="7"/>
      <c r="J13" s="7" t="s">
        <v>1984</v>
      </c>
      <c r="K13" s="7" t="s">
        <v>1379</v>
      </c>
      <c r="L13" s="46"/>
      <c r="M13" s="7"/>
      <c r="N13" s="46">
        <v>11</v>
      </c>
      <c r="O13" s="76" t="s">
        <v>1985</v>
      </c>
      <c r="P13" s="76" t="s">
        <v>1986</v>
      </c>
    </row>
    <row r="14" spans="1:16">
      <c r="A14" s="7" t="s">
        <v>1987</v>
      </c>
      <c r="B14" s="7" t="s">
        <v>113</v>
      </c>
      <c r="C14" s="7" t="s">
        <v>289</v>
      </c>
      <c r="D14" s="7" t="s">
        <v>1988</v>
      </c>
      <c r="E14" s="7" t="s">
        <v>325</v>
      </c>
      <c r="F14" s="7">
        <v>10</v>
      </c>
      <c r="G14" s="7" t="s">
        <v>74</v>
      </c>
      <c r="H14" s="7" t="s">
        <v>1384</v>
      </c>
      <c r="I14" s="7"/>
      <c r="J14" s="7" t="s">
        <v>1989</v>
      </c>
      <c r="K14" s="7" t="s">
        <v>327</v>
      </c>
      <c r="L14" s="46"/>
      <c r="M14" s="7"/>
      <c r="N14" s="46">
        <v>12</v>
      </c>
      <c r="O14" s="76" t="s">
        <v>1990</v>
      </c>
      <c r="P14" s="76" t="s">
        <v>1991</v>
      </c>
    </row>
    <row r="15" spans="1:16">
      <c r="A15" s="7" t="s">
        <v>1992</v>
      </c>
      <c r="B15" s="7" t="s">
        <v>113</v>
      </c>
      <c r="C15" s="7" t="s">
        <v>289</v>
      </c>
      <c r="D15" s="7" t="s">
        <v>1993</v>
      </c>
      <c r="E15" s="7" t="s">
        <v>325</v>
      </c>
      <c r="F15" s="7">
        <v>50</v>
      </c>
      <c r="G15" s="7" t="s">
        <v>74</v>
      </c>
      <c r="H15" s="7" t="s">
        <v>1384</v>
      </c>
      <c r="I15" s="7"/>
      <c r="J15" s="7" t="s">
        <v>1994</v>
      </c>
      <c r="K15" s="7" t="s">
        <v>327</v>
      </c>
      <c r="L15" s="46"/>
      <c r="M15" s="7"/>
      <c r="N15" s="46">
        <v>13</v>
      </c>
      <c r="O15" s="76" t="s">
        <v>1995</v>
      </c>
      <c r="P15" s="76" t="s">
        <v>1996</v>
      </c>
    </row>
    <row r="16" spans="1:16">
      <c r="A16" s="7" t="s">
        <v>1997</v>
      </c>
      <c r="B16" s="7" t="s">
        <v>113</v>
      </c>
      <c r="C16" s="7" t="s">
        <v>289</v>
      </c>
      <c r="D16" s="7" t="s">
        <v>1998</v>
      </c>
      <c r="E16" s="7" t="s">
        <v>431</v>
      </c>
      <c r="F16" s="7"/>
      <c r="G16" s="7" t="s">
        <v>74</v>
      </c>
      <c r="H16" s="7"/>
      <c r="I16" s="7"/>
      <c r="J16" s="7" t="s">
        <v>1999</v>
      </c>
      <c r="K16" s="7">
        <v>-1</v>
      </c>
      <c r="L16" s="46"/>
      <c r="M16" s="7"/>
      <c r="N16" s="46">
        <v>14</v>
      </c>
      <c r="O16" s="76" t="s">
        <v>2000</v>
      </c>
      <c r="P16" s="76" t="s">
        <v>2001</v>
      </c>
    </row>
    <row r="17" spans="1:16">
      <c r="A17" s="7" t="s">
        <v>2002</v>
      </c>
      <c r="B17" s="7" t="s">
        <v>113</v>
      </c>
      <c r="C17" s="7" t="s">
        <v>289</v>
      </c>
      <c r="D17" s="7" t="s">
        <v>2003</v>
      </c>
      <c r="E17" s="7" t="s">
        <v>431</v>
      </c>
      <c r="F17" s="7"/>
      <c r="G17" s="7" t="s">
        <v>74</v>
      </c>
      <c r="H17" s="7"/>
      <c r="I17" s="7"/>
      <c r="J17" s="7" t="s">
        <v>2004</v>
      </c>
      <c r="K17" s="7">
        <v>-1</v>
      </c>
      <c r="L17" s="46"/>
      <c r="M17" s="7"/>
      <c r="N17" s="46">
        <v>15</v>
      </c>
      <c r="O17" s="76" t="s">
        <v>2005</v>
      </c>
      <c r="P17" s="76" t="s">
        <v>2006</v>
      </c>
    </row>
    <row r="18" spans="1:16">
      <c r="A18" s="7" t="s">
        <v>2007</v>
      </c>
      <c r="B18" s="7" t="s">
        <v>113</v>
      </c>
      <c r="C18" s="7" t="s">
        <v>289</v>
      </c>
      <c r="D18" s="7" t="s">
        <v>2008</v>
      </c>
      <c r="E18" s="7" t="s">
        <v>431</v>
      </c>
      <c r="F18" s="7"/>
      <c r="G18" s="7" t="s">
        <v>74</v>
      </c>
      <c r="H18" s="7"/>
      <c r="I18" s="7"/>
      <c r="J18" s="7" t="s">
        <v>2009</v>
      </c>
      <c r="K18" s="7">
        <v>-1</v>
      </c>
      <c r="L18" s="46"/>
      <c r="M18" s="7"/>
      <c r="N18" s="46">
        <v>16</v>
      </c>
      <c r="O18" s="76" t="s">
        <v>2010</v>
      </c>
      <c r="P18" s="76" t="s">
        <v>2011</v>
      </c>
    </row>
    <row r="19" spans="1:16">
      <c r="A19" s="7" t="s">
        <v>2012</v>
      </c>
      <c r="B19" s="7" t="s">
        <v>113</v>
      </c>
      <c r="C19" s="7" t="s">
        <v>289</v>
      </c>
      <c r="D19" s="7" t="s">
        <v>2013</v>
      </c>
      <c r="E19" s="7" t="s">
        <v>1377</v>
      </c>
      <c r="F19" s="7"/>
      <c r="G19" s="7" t="s">
        <v>74</v>
      </c>
      <c r="H19" s="7"/>
      <c r="I19" s="7"/>
      <c r="J19" s="7" t="s">
        <v>2014</v>
      </c>
      <c r="K19" s="7" t="s">
        <v>1379</v>
      </c>
      <c r="L19" s="46"/>
      <c r="M19" s="7"/>
      <c r="N19" s="46">
        <v>17</v>
      </c>
      <c r="O19" s="76" t="s">
        <v>2015</v>
      </c>
      <c r="P19" s="76" t="s">
        <v>2016</v>
      </c>
    </row>
    <row r="20" spans="1:16">
      <c r="A20" s="7" t="s">
        <v>2017</v>
      </c>
      <c r="B20" s="7" t="s">
        <v>113</v>
      </c>
      <c r="C20" s="7" t="s">
        <v>289</v>
      </c>
      <c r="D20" s="7" t="s">
        <v>2018</v>
      </c>
      <c r="E20" s="7" t="s">
        <v>1377</v>
      </c>
      <c r="F20" s="7"/>
      <c r="G20" s="7" t="s">
        <v>74</v>
      </c>
      <c r="H20" s="7"/>
      <c r="I20" s="7"/>
      <c r="J20" s="7" t="s">
        <v>2019</v>
      </c>
      <c r="K20" s="7" t="s">
        <v>1379</v>
      </c>
      <c r="L20" s="46"/>
      <c r="M20" s="7"/>
      <c r="N20" s="46">
        <v>18</v>
      </c>
      <c r="O20" s="76" t="s">
        <v>2020</v>
      </c>
      <c r="P20" s="76" t="s">
        <v>2021</v>
      </c>
    </row>
    <row r="21" spans="1:16">
      <c r="A21" s="7" t="s">
        <v>2022</v>
      </c>
      <c r="B21" s="7" t="s">
        <v>113</v>
      </c>
      <c r="C21" s="7" t="s">
        <v>289</v>
      </c>
      <c r="D21" s="7" t="s">
        <v>2023</v>
      </c>
      <c r="E21" s="7" t="s">
        <v>1377</v>
      </c>
      <c r="F21" s="7"/>
      <c r="G21" s="7" t="s">
        <v>74</v>
      </c>
      <c r="H21" s="7"/>
      <c r="I21" s="7"/>
      <c r="J21" s="7" t="s">
        <v>2024</v>
      </c>
      <c r="K21" s="7" t="s">
        <v>1379</v>
      </c>
      <c r="L21" s="46"/>
      <c r="M21" s="7"/>
      <c r="N21" s="46">
        <v>19</v>
      </c>
      <c r="O21" s="76" t="s">
        <v>2025</v>
      </c>
      <c r="P21" s="76" t="s">
        <v>2026</v>
      </c>
    </row>
    <row r="22" spans="1:16">
      <c r="A22" s="7" t="s">
        <v>2027</v>
      </c>
      <c r="B22" s="7" t="s">
        <v>113</v>
      </c>
      <c r="C22" s="7" t="s">
        <v>289</v>
      </c>
      <c r="D22" s="7" t="s">
        <v>2028</v>
      </c>
      <c r="E22" s="7" t="s">
        <v>1377</v>
      </c>
      <c r="F22" s="7"/>
      <c r="G22" s="7" t="s">
        <v>74</v>
      </c>
      <c r="H22" s="7"/>
      <c r="I22" s="7"/>
      <c r="J22" s="7" t="s">
        <v>2029</v>
      </c>
      <c r="K22" s="7" t="s">
        <v>1379</v>
      </c>
      <c r="L22" s="46"/>
      <c r="M22" s="7"/>
      <c r="N22" s="46">
        <v>20</v>
      </c>
      <c r="O22" s="76" t="s">
        <v>2030</v>
      </c>
      <c r="P22" s="76" t="s">
        <v>2031</v>
      </c>
    </row>
    <row r="23" spans="1:16">
      <c r="A23" s="7" t="s">
        <v>2032</v>
      </c>
      <c r="B23" s="7" t="s">
        <v>113</v>
      </c>
      <c r="C23" s="7" t="s">
        <v>289</v>
      </c>
      <c r="D23" s="7" t="s">
        <v>2033</v>
      </c>
      <c r="E23" s="7" t="s">
        <v>1377</v>
      </c>
      <c r="F23" s="7"/>
      <c r="G23" s="7" t="s">
        <v>74</v>
      </c>
      <c r="H23" s="7"/>
      <c r="I23" s="7"/>
      <c r="J23" s="7" t="s">
        <v>2034</v>
      </c>
      <c r="K23" s="7" t="s">
        <v>1379</v>
      </c>
      <c r="L23" s="46"/>
      <c r="M23" s="7"/>
      <c r="N23" s="46">
        <v>21</v>
      </c>
      <c r="O23" s="76" t="s">
        <v>2035</v>
      </c>
      <c r="P23" s="76" t="s">
        <v>2036</v>
      </c>
    </row>
    <row r="24" spans="1:16">
      <c r="A24" s="7" t="s">
        <v>2037</v>
      </c>
      <c r="B24" s="7" t="s">
        <v>113</v>
      </c>
      <c r="C24" s="7" t="s">
        <v>289</v>
      </c>
      <c r="D24" s="7" t="s">
        <v>2038</v>
      </c>
      <c r="E24" s="7" t="s">
        <v>1377</v>
      </c>
      <c r="F24" s="7"/>
      <c r="G24" s="7" t="s">
        <v>74</v>
      </c>
      <c r="H24" s="7"/>
      <c r="I24" s="7"/>
      <c r="J24" s="7" t="s">
        <v>2039</v>
      </c>
      <c r="K24" s="7" t="s">
        <v>1379</v>
      </c>
      <c r="L24" s="46"/>
      <c r="M24" s="7"/>
      <c r="N24" s="46">
        <v>22</v>
      </c>
      <c r="O24" s="76" t="s">
        <v>2040</v>
      </c>
      <c r="P24" s="76" t="s">
        <v>2041</v>
      </c>
    </row>
    <row r="25" spans="1:16">
      <c r="A25" s="7" t="s">
        <v>2042</v>
      </c>
      <c r="B25" s="7" t="s">
        <v>113</v>
      </c>
      <c r="C25" s="7" t="s">
        <v>289</v>
      </c>
      <c r="D25" s="7" t="s">
        <v>2043</v>
      </c>
      <c r="E25" s="7" t="s">
        <v>1377</v>
      </c>
      <c r="F25" s="7"/>
      <c r="G25" s="7" t="s">
        <v>74</v>
      </c>
      <c r="H25" s="7"/>
      <c r="I25" s="7"/>
      <c r="J25" s="7" t="s">
        <v>2044</v>
      </c>
      <c r="K25" s="7" t="s">
        <v>1379</v>
      </c>
      <c r="L25" s="46"/>
      <c r="M25" s="7"/>
      <c r="N25" s="46">
        <v>23</v>
      </c>
      <c r="O25" s="76" t="s">
        <v>2045</v>
      </c>
      <c r="P25" s="76" t="s">
        <v>2046</v>
      </c>
    </row>
    <row r="26" spans="1:16">
      <c r="A26" s="7" t="s">
        <v>1590</v>
      </c>
      <c r="B26" s="7" t="s">
        <v>113</v>
      </c>
      <c r="C26" s="7" t="s">
        <v>289</v>
      </c>
      <c r="D26" s="7" t="s">
        <v>1846</v>
      </c>
      <c r="E26" s="7" t="s">
        <v>367</v>
      </c>
      <c r="F26" s="7"/>
      <c r="G26" s="7" t="s">
        <v>74</v>
      </c>
      <c r="H26" s="7"/>
      <c r="I26" s="7"/>
      <c r="J26" s="7" t="s">
        <v>1592</v>
      </c>
      <c r="K26" s="68" t="s">
        <v>368</v>
      </c>
      <c r="L26" s="46"/>
      <c r="M26" s="7" t="s">
        <v>1593</v>
      </c>
      <c r="N26" s="46">
        <v>24</v>
      </c>
      <c r="O26" s="76" t="s">
        <v>2047</v>
      </c>
      <c r="P26" s="76" t="s">
        <v>2048</v>
      </c>
    </row>
    <row r="27" spans="1:16">
      <c r="A27" s="8" t="s">
        <v>350</v>
      </c>
      <c r="B27" s="8" t="s">
        <v>320</v>
      </c>
      <c r="C27" s="8"/>
      <c r="D27" s="8"/>
      <c r="E27" s="8" t="s">
        <v>351</v>
      </c>
      <c r="F27" s="8">
        <v>100</v>
      </c>
      <c r="G27" s="8" t="s">
        <v>98</v>
      </c>
      <c r="H27" s="8"/>
      <c r="I27" s="8"/>
      <c r="J27" s="8"/>
      <c r="K27" s="8" t="s">
        <v>327</v>
      </c>
      <c r="L27" s="46"/>
      <c r="M27" s="7"/>
      <c r="N27" s="46">
        <v>25</v>
      </c>
      <c r="O27" s="76" t="s">
        <v>2049</v>
      </c>
      <c r="P27" s="76" t="s">
        <v>2050</v>
      </c>
    </row>
    <row r="28" spans="1:16">
      <c r="A28" s="8" t="s">
        <v>354</v>
      </c>
      <c r="B28" s="8" t="s">
        <v>320</v>
      </c>
      <c r="C28" s="8"/>
      <c r="D28" s="8"/>
      <c r="E28" s="8" t="s">
        <v>351</v>
      </c>
      <c r="F28" s="8">
        <v>100</v>
      </c>
      <c r="G28" s="8" t="s">
        <v>98</v>
      </c>
      <c r="H28" s="8"/>
      <c r="I28" s="8"/>
      <c r="J28" s="8"/>
      <c r="K28" s="8" t="s">
        <v>327</v>
      </c>
      <c r="L28" s="46"/>
      <c r="M28" s="7"/>
      <c r="N28" s="46">
        <v>26</v>
      </c>
      <c r="O28" s="76" t="s">
        <v>2051</v>
      </c>
      <c r="P28" s="76" t="s">
        <v>2052</v>
      </c>
    </row>
    <row r="29" spans="1:16">
      <c r="A29" s="8" t="s">
        <v>357</v>
      </c>
      <c r="B29" s="8" t="s">
        <v>320</v>
      </c>
      <c r="C29" s="8"/>
      <c r="D29" s="8"/>
      <c r="E29" s="8" t="s">
        <v>351</v>
      </c>
      <c r="F29" s="8">
        <v>100</v>
      </c>
      <c r="G29" s="8" t="s">
        <v>98</v>
      </c>
      <c r="H29" s="8"/>
      <c r="I29" s="8"/>
      <c r="J29" s="8"/>
      <c r="K29" s="8" t="s">
        <v>327</v>
      </c>
      <c r="L29" s="46"/>
      <c r="M29" s="7"/>
      <c r="N29" s="46">
        <v>27</v>
      </c>
      <c r="O29" s="76" t="s">
        <v>2053</v>
      </c>
      <c r="P29" s="76" t="s">
        <v>2054</v>
      </c>
    </row>
    <row r="30" spans="1:16">
      <c r="A30" s="8" t="s">
        <v>360</v>
      </c>
      <c r="B30" s="8" t="s">
        <v>320</v>
      </c>
      <c r="C30" s="8"/>
      <c r="D30" s="8"/>
      <c r="E30" s="8" t="s">
        <v>351</v>
      </c>
      <c r="F30" s="8">
        <v>100</v>
      </c>
      <c r="G30" s="8" t="s">
        <v>98</v>
      </c>
      <c r="H30" s="8"/>
      <c r="I30" s="8"/>
      <c r="J30" s="8"/>
      <c r="K30" s="8" t="s">
        <v>327</v>
      </c>
      <c r="L30" s="46"/>
      <c r="M30" s="7"/>
      <c r="N30" s="46">
        <v>28</v>
      </c>
      <c r="O30" s="76" t="s">
        <v>2055</v>
      </c>
      <c r="P30" s="76" t="s">
        <v>2056</v>
      </c>
    </row>
    <row r="31" spans="1:16">
      <c r="A31" s="8" t="s">
        <v>363</v>
      </c>
      <c r="B31" s="8" t="s">
        <v>320</v>
      </c>
      <c r="C31" s="8"/>
      <c r="D31" s="8"/>
      <c r="E31" s="8" t="s">
        <v>351</v>
      </c>
      <c r="F31" s="8">
        <v>100</v>
      </c>
      <c r="G31" s="8" t="s">
        <v>98</v>
      </c>
      <c r="H31" s="8"/>
      <c r="I31" s="8"/>
      <c r="J31" s="8"/>
      <c r="K31" s="8" t="s">
        <v>327</v>
      </c>
      <c r="L31" s="46"/>
      <c r="M31" s="7"/>
      <c r="N31" s="46">
        <v>29</v>
      </c>
      <c r="O31" s="76" t="s">
        <v>2057</v>
      </c>
      <c r="P31" s="76" t="s">
        <v>2058</v>
      </c>
    </row>
    <row r="32" spans="1:16">
      <c r="A32" s="8" t="s">
        <v>366</v>
      </c>
      <c r="B32" s="8" t="s">
        <v>320</v>
      </c>
      <c r="C32" s="8"/>
      <c r="D32" s="8"/>
      <c r="E32" s="8" t="s">
        <v>367</v>
      </c>
      <c r="F32" s="8"/>
      <c r="G32" s="8" t="s">
        <v>98</v>
      </c>
      <c r="H32" s="8"/>
      <c r="I32" s="8"/>
      <c r="J32" s="8"/>
      <c r="K32" s="8" t="s">
        <v>368</v>
      </c>
      <c r="L32" s="46"/>
      <c r="M32" s="7"/>
      <c r="N32" s="46">
        <v>30</v>
      </c>
      <c r="O32" s="76" t="s">
        <v>2059</v>
      </c>
      <c r="P32" s="76" t="s">
        <v>2060</v>
      </c>
    </row>
    <row r="33" spans="1:16">
      <c r="A33" s="8" t="s">
        <v>371</v>
      </c>
      <c r="B33" s="8" t="s">
        <v>320</v>
      </c>
      <c r="C33" s="8"/>
      <c r="D33" s="8"/>
      <c r="E33" s="8" t="s">
        <v>367</v>
      </c>
      <c r="F33" s="8"/>
      <c r="G33" s="8" t="s">
        <v>98</v>
      </c>
      <c r="H33" s="8"/>
      <c r="I33" s="8"/>
      <c r="J33" s="8"/>
      <c r="K33" s="8" t="s">
        <v>368</v>
      </c>
      <c r="L33" s="46"/>
      <c r="M33" s="7"/>
      <c r="N33" s="46">
        <v>31</v>
      </c>
      <c r="O33" s="76" t="s">
        <v>2061</v>
      </c>
      <c r="P33" s="76" t="s">
        <v>2062</v>
      </c>
    </row>
    <row r="34" spans="1:16">
      <c r="A34" s="8" t="s">
        <v>374</v>
      </c>
      <c r="B34" s="8" t="s">
        <v>320</v>
      </c>
      <c r="C34" s="8"/>
      <c r="D34" s="8"/>
      <c r="E34" s="8" t="s">
        <v>351</v>
      </c>
      <c r="F34" s="8">
        <v>100</v>
      </c>
      <c r="G34" s="8" t="s">
        <v>98</v>
      </c>
      <c r="H34" s="8"/>
      <c r="I34" s="8"/>
      <c r="J34" s="8"/>
      <c r="K34" s="8" t="s">
        <v>327</v>
      </c>
      <c r="L34" s="46"/>
      <c r="M34" s="7"/>
      <c r="N34" s="46">
        <v>32</v>
      </c>
      <c r="O34" t="s">
        <v>2063</v>
      </c>
      <c r="P34" s="76" t="s">
        <v>2064</v>
      </c>
    </row>
    <row r="36" spans="1:16">
      <c r="A36" s="21" t="s">
        <v>90</v>
      </c>
    </row>
    <row r="37" spans="1:16">
      <c r="A37" s="35" t="s">
        <v>1612</v>
      </c>
    </row>
    <row r="38" spans="1:16">
      <c r="A38" s="36" t="s">
        <v>1613</v>
      </c>
    </row>
    <row r="40" spans="1:16">
      <c r="A40" t="s">
        <v>1614</v>
      </c>
    </row>
  </sheetData>
  <conditionalFormatting sqref="O24:O34">
    <cfRule type="duplicateValues" dxfId="206" priority="12"/>
  </conditionalFormatting>
  <conditionalFormatting sqref="O6:O34">
    <cfRule type="duplicateValues" dxfId="205" priority="11"/>
  </conditionalFormatting>
  <conditionalFormatting sqref="O6:O34">
    <cfRule type="expression" dxfId="204" priority="7">
      <formula>$J6="Y"</formula>
    </cfRule>
    <cfRule type="expression" dxfId="203" priority="8">
      <formula>$H6="Foreign"</formula>
    </cfRule>
    <cfRule type="expression" dxfId="202" priority="9">
      <formula>$H6="Business"</formula>
    </cfRule>
    <cfRule type="expression" dxfId="201" priority="10">
      <formula>$H6="Primary"</formula>
    </cfRule>
  </conditionalFormatting>
  <conditionalFormatting sqref="O3:O5">
    <cfRule type="duplicateValues" dxfId="200" priority="5"/>
  </conditionalFormatting>
  <conditionalFormatting sqref="O3:O5">
    <cfRule type="expression" dxfId="199" priority="1">
      <formula>$J3="Y"</formula>
    </cfRule>
    <cfRule type="expression" dxfId="198" priority="2">
      <formula>$H3="Foreign"</formula>
    </cfRule>
    <cfRule type="expression" dxfId="197" priority="3">
      <formula>$H3="Business"</formula>
    </cfRule>
    <cfRule type="expression" dxfId="196" priority="4">
      <formula>$H3="Primary"</formula>
    </cfRule>
  </conditionalFormatting>
  <conditionalFormatting sqref="O5">
    <cfRule type="duplicateValues" dxfId="195" priority="6"/>
  </conditionalFormatting>
  <hyperlinks>
    <hyperlink ref="A38" r:id="rId1" xr:uid="{F814F0AC-4DA3-4875-888A-516BF703AB38}"/>
  </hyperlinks>
  <pageMargins left="0.7" right="0.7" top="0.75" bottom="0.75" header="0.3" footer="0.3"/>
  <pageSetup paperSize="9" orientation="portrait" r:id="rId2"/>
  <legacyDrawing r:id="rId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P60"/>
  <sheetViews>
    <sheetView workbookViewId="0">
      <selection activeCell="F4" sqref="F4:F11"/>
    </sheetView>
  </sheetViews>
  <sheetFormatPr defaultRowHeight="14.45"/>
  <cols>
    <col min="1" max="1" width="30.85546875" customWidth="1"/>
    <col min="2" max="2" width="20.7109375" customWidth="1"/>
    <col min="3" max="3" width="37.28515625" customWidth="1"/>
    <col min="4" max="4" width="20.7109375" customWidth="1"/>
    <col min="5" max="7" width="15.7109375" customWidth="1"/>
    <col min="8" max="11" width="20.7109375" customWidth="1"/>
    <col min="12" max="12" width="15.7109375" bestFit="1" customWidth="1"/>
    <col min="13" max="13" width="39.28515625" customWidth="1"/>
    <col min="14" max="14" width="17.28515625" bestFit="1" customWidth="1"/>
    <col min="15" max="15" width="38.28515625" bestFit="1" customWidth="1"/>
    <col min="16" max="16" width="41.7109375" bestFit="1" customWidth="1"/>
  </cols>
  <sheetData>
    <row r="1" spans="1:16" ht="60" customHeight="1">
      <c r="A1" s="1" t="s">
        <v>177</v>
      </c>
      <c r="D1" s="33" t="s">
        <v>297</v>
      </c>
      <c r="E1" s="33"/>
      <c r="I1" s="3" t="s">
        <v>298</v>
      </c>
      <c r="J1" s="4" t="s">
        <v>299</v>
      </c>
      <c r="K1" s="19" t="s">
        <v>300</v>
      </c>
      <c r="L1" s="23" t="s">
        <v>301</v>
      </c>
    </row>
    <row r="2" spans="1:16">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317</v>
      </c>
    </row>
    <row r="3" spans="1:16">
      <c r="A3" s="6" t="s">
        <v>2065</v>
      </c>
      <c r="B3" s="6" t="s">
        <v>320</v>
      </c>
      <c r="C3" s="6"/>
      <c r="D3" s="6"/>
      <c r="E3" s="6" t="s">
        <v>319</v>
      </c>
      <c r="F3" s="6"/>
      <c r="G3" s="6" t="s">
        <v>98</v>
      </c>
      <c r="H3" s="6" t="s">
        <v>321</v>
      </c>
      <c r="I3" s="6"/>
      <c r="J3" s="6"/>
      <c r="K3" s="6">
        <v>-1</v>
      </c>
      <c r="L3" s="46"/>
      <c r="M3" s="7"/>
      <c r="N3" s="46">
        <v>1</v>
      </c>
      <c r="O3" s="76" t="s">
        <v>2066</v>
      </c>
      <c r="P3" s="76" t="s">
        <v>2067</v>
      </c>
    </row>
    <row r="4" spans="1:16">
      <c r="A4" s="27" t="s">
        <v>2068</v>
      </c>
      <c r="B4" s="27" t="s">
        <v>12</v>
      </c>
      <c r="C4" s="27" t="s">
        <v>2069</v>
      </c>
      <c r="D4" s="27" t="s">
        <v>2070</v>
      </c>
      <c r="E4" s="27" t="s">
        <v>351</v>
      </c>
      <c r="F4" s="27">
        <v>5</v>
      </c>
      <c r="G4" s="27" t="s">
        <v>98</v>
      </c>
      <c r="H4" s="27"/>
      <c r="I4" s="27"/>
      <c r="J4" s="27"/>
      <c r="K4" s="27" t="s">
        <v>327</v>
      </c>
      <c r="L4" s="46"/>
      <c r="M4" s="7" t="s">
        <v>2071</v>
      </c>
      <c r="N4" s="46">
        <v>2</v>
      </c>
      <c r="O4" s="76" t="s">
        <v>2072</v>
      </c>
      <c r="P4" s="76" t="s">
        <v>2073</v>
      </c>
    </row>
    <row r="5" spans="1:16">
      <c r="A5" s="27" t="s">
        <v>2068</v>
      </c>
      <c r="B5" s="27" t="s">
        <v>33</v>
      </c>
      <c r="C5" s="27" t="s">
        <v>2074</v>
      </c>
      <c r="D5" s="27" t="s">
        <v>2075</v>
      </c>
      <c r="E5" s="27" t="s">
        <v>351</v>
      </c>
      <c r="F5" s="27">
        <v>5</v>
      </c>
      <c r="G5" s="27" t="s">
        <v>98</v>
      </c>
      <c r="H5" s="27"/>
      <c r="I5" s="27"/>
      <c r="J5" s="27"/>
      <c r="K5" s="27" t="s">
        <v>327</v>
      </c>
      <c r="L5" s="46"/>
      <c r="M5" s="7" t="s">
        <v>2071</v>
      </c>
      <c r="N5" s="46"/>
      <c r="O5" s="76" t="s">
        <v>2072</v>
      </c>
    </row>
    <row r="6" spans="1:16">
      <c r="A6" s="27" t="s">
        <v>2068</v>
      </c>
      <c r="B6" s="27" t="s">
        <v>33</v>
      </c>
      <c r="C6" s="27" t="s">
        <v>2076</v>
      </c>
      <c r="D6" s="27" t="s">
        <v>2075</v>
      </c>
      <c r="E6" s="27" t="s">
        <v>351</v>
      </c>
      <c r="F6" s="27">
        <v>5</v>
      </c>
      <c r="G6" s="27" t="s">
        <v>98</v>
      </c>
      <c r="H6" s="27"/>
      <c r="I6" s="27"/>
      <c r="J6" s="27"/>
      <c r="K6" s="27" t="s">
        <v>327</v>
      </c>
      <c r="L6" s="46"/>
      <c r="M6" s="7" t="s">
        <v>2071</v>
      </c>
      <c r="N6" s="46"/>
      <c r="O6" s="76" t="s">
        <v>2072</v>
      </c>
    </row>
    <row r="7" spans="1:16">
      <c r="A7" s="27" t="s">
        <v>2068</v>
      </c>
      <c r="B7" s="27" t="s">
        <v>30</v>
      </c>
      <c r="C7" s="27" t="s">
        <v>2077</v>
      </c>
      <c r="D7" s="27"/>
      <c r="E7" s="27" t="s">
        <v>351</v>
      </c>
      <c r="F7" s="27">
        <v>5</v>
      </c>
      <c r="G7" s="27" t="s">
        <v>98</v>
      </c>
      <c r="H7" s="27" t="s">
        <v>2078</v>
      </c>
      <c r="I7" s="27"/>
      <c r="J7" s="27" t="s">
        <v>2079</v>
      </c>
      <c r="K7" s="27" t="s">
        <v>327</v>
      </c>
      <c r="L7" s="46"/>
      <c r="M7" s="7"/>
      <c r="N7" s="46"/>
      <c r="O7" s="76" t="s">
        <v>2072</v>
      </c>
    </row>
    <row r="8" spans="1:16">
      <c r="A8" s="27" t="s">
        <v>2080</v>
      </c>
      <c r="B8" s="27" t="s">
        <v>12</v>
      </c>
      <c r="C8" s="27" t="s">
        <v>2069</v>
      </c>
      <c r="D8" s="27" t="s">
        <v>2081</v>
      </c>
      <c r="E8" s="27" t="s">
        <v>351</v>
      </c>
      <c r="F8" s="27">
        <v>5</v>
      </c>
      <c r="G8" s="27" t="s">
        <v>98</v>
      </c>
      <c r="H8" s="27"/>
      <c r="I8" s="27"/>
      <c r="J8" s="27"/>
      <c r="K8" s="27" t="s">
        <v>327</v>
      </c>
      <c r="L8" s="46"/>
      <c r="M8" s="7" t="s">
        <v>2071</v>
      </c>
      <c r="N8" s="46">
        <v>3</v>
      </c>
      <c r="O8" s="76" t="s">
        <v>2082</v>
      </c>
      <c r="P8" s="76" t="s">
        <v>2083</v>
      </c>
    </row>
    <row r="9" spans="1:16">
      <c r="A9" s="27" t="s">
        <v>2080</v>
      </c>
      <c r="B9" s="27" t="s">
        <v>33</v>
      </c>
      <c r="C9" s="27" t="s">
        <v>2074</v>
      </c>
      <c r="D9" s="27" t="s">
        <v>158</v>
      </c>
      <c r="E9" s="27" t="s">
        <v>351</v>
      </c>
      <c r="F9" s="27">
        <v>5</v>
      </c>
      <c r="G9" s="27" t="s">
        <v>98</v>
      </c>
      <c r="H9" s="27"/>
      <c r="I9" s="27"/>
      <c r="J9" s="27"/>
      <c r="K9" s="27" t="s">
        <v>327</v>
      </c>
      <c r="L9" s="46"/>
      <c r="M9" s="7" t="s">
        <v>2071</v>
      </c>
      <c r="N9" s="46"/>
      <c r="O9" s="76" t="s">
        <v>2082</v>
      </c>
    </row>
    <row r="10" spans="1:16">
      <c r="A10" s="27" t="s">
        <v>2080</v>
      </c>
      <c r="B10" s="27" t="s">
        <v>33</v>
      </c>
      <c r="C10" s="27" t="s">
        <v>2076</v>
      </c>
      <c r="D10" s="27" t="s">
        <v>158</v>
      </c>
      <c r="E10" s="27" t="s">
        <v>351</v>
      </c>
      <c r="F10" s="27">
        <v>5</v>
      </c>
      <c r="G10" s="27" t="s">
        <v>98</v>
      </c>
      <c r="H10" s="27"/>
      <c r="I10" s="27"/>
      <c r="J10" s="27"/>
      <c r="K10" s="27" t="s">
        <v>327</v>
      </c>
      <c r="L10" s="46"/>
      <c r="M10" s="7" t="s">
        <v>2071</v>
      </c>
      <c r="N10" s="46"/>
      <c r="O10" s="76" t="s">
        <v>2082</v>
      </c>
    </row>
    <row r="11" spans="1:16">
      <c r="A11" s="27" t="s">
        <v>2080</v>
      </c>
      <c r="B11" s="27" t="s">
        <v>30</v>
      </c>
      <c r="C11" s="27" t="s">
        <v>2077</v>
      </c>
      <c r="D11" s="27" t="s">
        <v>505</v>
      </c>
      <c r="E11" s="27" t="s">
        <v>351</v>
      </c>
      <c r="F11" s="27">
        <v>5</v>
      </c>
      <c r="G11" s="27" t="s">
        <v>98</v>
      </c>
      <c r="H11" s="27"/>
      <c r="I11" s="27"/>
      <c r="J11" s="27"/>
      <c r="K11" s="27" t="s">
        <v>327</v>
      </c>
      <c r="L11" s="46"/>
      <c r="M11" s="7"/>
      <c r="N11" s="46"/>
      <c r="O11" s="76" t="s">
        <v>2082</v>
      </c>
    </row>
    <row r="12" spans="1:16">
      <c r="A12" s="9" t="s">
        <v>2084</v>
      </c>
      <c r="B12" s="9" t="s">
        <v>12</v>
      </c>
      <c r="C12" s="9" t="s">
        <v>2069</v>
      </c>
      <c r="D12" s="9" t="s">
        <v>2085</v>
      </c>
      <c r="E12" s="9" t="s">
        <v>367</v>
      </c>
      <c r="F12" s="9"/>
      <c r="G12" s="9" t="s">
        <v>98</v>
      </c>
      <c r="H12" s="9"/>
      <c r="I12" s="9"/>
      <c r="J12" s="9"/>
      <c r="K12" s="9" t="s">
        <v>368</v>
      </c>
      <c r="L12" s="46"/>
      <c r="M12" s="7"/>
      <c r="N12" s="46">
        <v>4</v>
      </c>
      <c r="O12" s="76" t="s">
        <v>2086</v>
      </c>
      <c r="P12" s="76" t="s">
        <v>2087</v>
      </c>
    </row>
    <row r="13" spans="1:16">
      <c r="A13" s="9" t="s">
        <v>2084</v>
      </c>
      <c r="B13" s="9" t="s">
        <v>33</v>
      </c>
      <c r="C13" s="9" t="s">
        <v>2074</v>
      </c>
      <c r="D13" s="9" t="s">
        <v>2088</v>
      </c>
      <c r="E13" s="9" t="s">
        <v>367</v>
      </c>
      <c r="F13" s="9"/>
      <c r="G13" s="9" t="s">
        <v>98</v>
      </c>
      <c r="H13" s="9"/>
      <c r="I13" s="9"/>
      <c r="J13" s="9"/>
      <c r="K13" s="9" t="s">
        <v>368</v>
      </c>
      <c r="L13" s="46"/>
      <c r="M13" s="7"/>
      <c r="N13" s="46"/>
      <c r="O13" s="76" t="s">
        <v>2086</v>
      </c>
    </row>
    <row r="14" spans="1:16">
      <c r="A14" s="9" t="s">
        <v>2084</v>
      </c>
      <c r="B14" s="9" t="s">
        <v>33</v>
      </c>
      <c r="C14" s="9" t="s">
        <v>2076</v>
      </c>
      <c r="D14" s="9" t="s">
        <v>2089</v>
      </c>
      <c r="E14" s="9" t="s">
        <v>367</v>
      </c>
      <c r="F14" s="9"/>
      <c r="G14" s="9" t="s">
        <v>98</v>
      </c>
      <c r="H14" s="9"/>
      <c r="I14" s="9"/>
      <c r="J14" s="9"/>
      <c r="K14" s="9" t="s">
        <v>368</v>
      </c>
      <c r="L14" s="46"/>
      <c r="M14" s="7"/>
      <c r="N14" s="46"/>
      <c r="O14" s="76" t="s">
        <v>2086</v>
      </c>
    </row>
    <row r="15" spans="1:16">
      <c r="A15" s="9" t="s">
        <v>2084</v>
      </c>
      <c r="B15" s="9" t="s">
        <v>30</v>
      </c>
      <c r="C15" s="9" t="s">
        <v>2077</v>
      </c>
      <c r="D15" s="9" t="s">
        <v>2085</v>
      </c>
      <c r="E15" s="9" t="s">
        <v>2088</v>
      </c>
      <c r="F15" s="9"/>
      <c r="G15" s="9" t="s">
        <v>98</v>
      </c>
      <c r="H15" s="9"/>
      <c r="I15" s="9"/>
      <c r="J15" s="9"/>
      <c r="K15" s="9" t="s">
        <v>368</v>
      </c>
      <c r="L15" s="46"/>
      <c r="M15" s="7"/>
      <c r="N15" s="46"/>
      <c r="O15" s="76" t="s">
        <v>2086</v>
      </c>
    </row>
    <row r="16" spans="1:16">
      <c r="A16" s="9" t="s">
        <v>2090</v>
      </c>
      <c r="B16" s="9" t="s">
        <v>12</v>
      </c>
      <c r="C16" s="9" t="s">
        <v>2069</v>
      </c>
      <c r="D16" s="9" t="s">
        <v>2091</v>
      </c>
      <c r="E16" s="9" t="s">
        <v>351</v>
      </c>
      <c r="F16" s="9">
        <v>4</v>
      </c>
      <c r="G16" s="9" t="s">
        <v>98</v>
      </c>
      <c r="H16" s="86" t="s">
        <v>2092</v>
      </c>
      <c r="I16" s="9"/>
      <c r="J16" s="9"/>
      <c r="K16" s="9" t="s">
        <v>368</v>
      </c>
      <c r="L16" s="46"/>
      <c r="M16" s="7"/>
      <c r="N16" s="46">
        <v>6</v>
      </c>
      <c r="O16" s="76" t="s">
        <v>2093</v>
      </c>
      <c r="P16" s="76" t="s">
        <v>2094</v>
      </c>
    </row>
    <row r="17" spans="1:16">
      <c r="A17" s="9" t="s">
        <v>2090</v>
      </c>
      <c r="B17" s="9" t="s">
        <v>33</v>
      </c>
      <c r="C17" s="9" t="s">
        <v>2074</v>
      </c>
      <c r="D17" s="9"/>
      <c r="E17" s="9"/>
      <c r="F17" s="9"/>
      <c r="G17" s="9" t="s">
        <v>98</v>
      </c>
      <c r="H17" s="9" t="s">
        <v>2095</v>
      </c>
      <c r="I17" s="9"/>
      <c r="J17" s="9" t="s">
        <v>2079</v>
      </c>
      <c r="K17" s="9" t="s">
        <v>368</v>
      </c>
      <c r="L17" s="46"/>
      <c r="M17" s="7"/>
      <c r="N17" s="46"/>
      <c r="O17" s="76" t="s">
        <v>2093</v>
      </c>
    </row>
    <row r="18" spans="1:16">
      <c r="A18" s="9" t="s">
        <v>2090</v>
      </c>
      <c r="B18" s="9" t="s">
        <v>33</v>
      </c>
      <c r="C18" s="9" t="s">
        <v>2076</v>
      </c>
      <c r="D18" s="9"/>
      <c r="E18" s="9"/>
      <c r="F18" s="9"/>
      <c r="G18" s="9" t="s">
        <v>98</v>
      </c>
      <c r="H18" s="9" t="s">
        <v>2096</v>
      </c>
      <c r="I18" s="9"/>
      <c r="J18" s="9" t="s">
        <v>2079</v>
      </c>
      <c r="K18" s="9" t="s">
        <v>368</v>
      </c>
      <c r="L18" s="46"/>
      <c r="M18" s="7"/>
      <c r="N18" s="46"/>
      <c r="O18" s="76" t="s">
        <v>2093</v>
      </c>
    </row>
    <row r="19" spans="1:16">
      <c r="A19" s="9" t="s">
        <v>2090</v>
      </c>
      <c r="B19" s="9" t="s">
        <v>30</v>
      </c>
      <c r="C19" s="9" t="s">
        <v>2077</v>
      </c>
      <c r="D19" s="9"/>
      <c r="E19" s="9"/>
      <c r="F19" s="9"/>
      <c r="G19" s="9" t="s">
        <v>98</v>
      </c>
      <c r="H19" s="9" t="s">
        <v>2097</v>
      </c>
      <c r="I19" s="9"/>
      <c r="J19" s="9" t="s">
        <v>2079</v>
      </c>
      <c r="K19" s="9" t="s">
        <v>368</v>
      </c>
      <c r="L19" s="46"/>
      <c r="M19" s="7"/>
      <c r="N19" s="46"/>
      <c r="O19" s="76" t="s">
        <v>2093</v>
      </c>
    </row>
    <row r="20" spans="1:16">
      <c r="A20" s="7" t="s">
        <v>177</v>
      </c>
      <c r="B20" s="7" t="s">
        <v>12</v>
      </c>
      <c r="C20" s="7" t="s">
        <v>2069</v>
      </c>
      <c r="D20" s="7" t="s">
        <v>2098</v>
      </c>
      <c r="E20" s="7" t="s">
        <v>1635</v>
      </c>
      <c r="F20" s="7"/>
      <c r="G20" s="7" t="s">
        <v>74</v>
      </c>
      <c r="H20" s="7"/>
      <c r="I20" s="7"/>
      <c r="J20" s="7"/>
      <c r="K20" s="7" t="s">
        <v>2099</v>
      </c>
      <c r="L20" s="46"/>
      <c r="M20" s="7"/>
      <c r="N20" s="46">
        <v>7</v>
      </c>
      <c r="O20" s="76" t="s">
        <v>2100</v>
      </c>
      <c r="P20" s="76" t="s">
        <v>2101</v>
      </c>
    </row>
    <row r="21" spans="1:16">
      <c r="A21" s="7" t="s">
        <v>177</v>
      </c>
      <c r="B21" s="7" t="s">
        <v>33</v>
      </c>
      <c r="C21" s="7" t="s">
        <v>2074</v>
      </c>
      <c r="D21" s="7" t="s">
        <v>2102</v>
      </c>
      <c r="E21" s="7" t="s">
        <v>1635</v>
      </c>
      <c r="F21" s="7" t="s">
        <v>2103</v>
      </c>
      <c r="G21" s="7" t="s">
        <v>74</v>
      </c>
      <c r="H21" s="7"/>
      <c r="I21" s="7"/>
      <c r="J21" s="7"/>
      <c r="K21" s="7" t="s">
        <v>2099</v>
      </c>
      <c r="L21" s="46"/>
      <c r="M21" s="7"/>
      <c r="N21" s="46"/>
      <c r="O21" s="76" t="s">
        <v>2100</v>
      </c>
    </row>
    <row r="22" spans="1:16">
      <c r="A22" s="7" t="s">
        <v>177</v>
      </c>
      <c r="B22" s="7" t="s">
        <v>33</v>
      </c>
      <c r="C22" s="7" t="s">
        <v>2076</v>
      </c>
      <c r="D22" s="7" t="s">
        <v>2102</v>
      </c>
      <c r="E22" s="7" t="s">
        <v>1635</v>
      </c>
      <c r="F22" s="7" t="s">
        <v>2103</v>
      </c>
      <c r="G22" s="7" t="s">
        <v>74</v>
      </c>
      <c r="H22" s="7"/>
      <c r="I22" s="7"/>
      <c r="J22" s="7"/>
      <c r="K22" s="7" t="s">
        <v>2099</v>
      </c>
      <c r="L22" s="46"/>
      <c r="M22" s="7"/>
      <c r="N22" s="46"/>
      <c r="O22" s="76" t="s">
        <v>2100</v>
      </c>
    </row>
    <row r="23" spans="1:16">
      <c r="A23" s="7" t="s">
        <v>177</v>
      </c>
      <c r="B23" s="7" t="s">
        <v>30</v>
      </c>
      <c r="C23" s="7" t="s">
        <v>2077</v>
      </c>
      <c r="D23" s="7" t="s">
        <v>2104</v>
      </c>
      <c r="E23" s="7" t="s">
        <v>1377</v>
      </c>
      <c r="F23" s="7"/>
      <c r="G23" s="7" t="s">
        <v>74</v>
      </c>
      <c r="H23" s="7"/>
      <c r="I23" s="7"/>
      <c r="J23" s="7"/>
      <c r="K23" s="7" t="s">
        <v>2099</v>
      </c>
      <c r="L23" s="46"/>
      <c r="M23" s="7"/>
      <c r="N23" s="46"/>
      <c r="O23" s="76" t="s">
        <v>2100</v>
      </c>
    </row>
    <row r="24" spans="1:16">
      <c r="A24" s="7" t="s">
        <v>2105</v>
      </c>
      <c r="B24" s="7" t="s">
        <v>12</v>
      </c>
      <c r="C24" s="7" t="s">
        <v>2069</v>
      </c>
      <c r="D24" s="7" t="s">
        <v>2106</v>
      </c>
      <c r="E24" s="7" t="s">
        <v>1635</v>
      </c>
      <c r="F24" s="7"/>
      <c r="G24" s="7" t="s">
        <v>74</v>
      </c>
      <c r="H24" s="7"/>
      <c r="I24" s="7"/>
      <c r="J24" s="7"/>
      <c r="K24" s="7" t="s">
        <v>2099</v>
      </c>
      <c r="L24" s="46"/>
      <c r="M24" s="7"/>
      <c r="N24" s="46">
        <v>8</v>
      </c>
      <c r="O24" s="76" t="s">
        <v>2107</v>
      </c>
      <c r="P24" s="76" t="s">
        <v>2108</v>
      </c>
    </row>
    <row r="25" spans="1:16">
      <c r="A25" s="7" t="s">
        <v>2105</v>
      </c>
      <c r="B25" s="7" t="s">
        <v>33</v>
      </c>
      <c r="C25" s="7" t="s">
        <v>2074</v>
      </c>
      <c r="D25" s="7"/>
      <c r="E25" s="7"/>
      <c r="F25" s="7"/>
      <c r="G25" s="7" t="s">
        <v>74</v>
      </c>
      <c r="H25" s="7">
        <v>1</v>
      </c>
      <c r="I25" s="7"/>
      <c r="J25" s="7" t="s">
        <v>2079</v>
      </c>
      <c r="K25" s="7" t="s">
        <v>2099</v>
      </c>
      <c r="L25" s="46"/>
      <c r="M25" s="7"/>
      <c r="N25" s="46"/>
      <c r="O25" s="76" t="s">
        <v>2107</v>
      </c>
    </row>
    <row r="26" spans="1:16">
      <c r="A26" s="7" t="s">
        <v>2105</v>
      </c>
      <c r="B26" s="7" t="s">
        <v>33</v>
      </c>
      <c r="C26" s="7" t="s">
        <v>2076</v>
      </c>
      <c r="D26" s="7"/>
      <c r="E26" s="7"/>
      <c r="F26" s="7"/>
      <c r="G26" s="7" t="s">
        <v>74</v>
      </c>
      <c r="H26" s="7">
        <v>1</v>
      </c>
      <c r="I26" s="7"/>
      <c r="J26" s="7" t="s">
        <v>2079</v>
      </c>
      <c r="K26" s="7" t="s">
        <v>2099</v>
      </c>
      <c r="L26" s="46"/>
      <c r="M26" s="7"/>
      <c r="N26" s="46"/>
      <c r="O26" s="76" t="s">
        <v>2107</v>
      </c>
    </row>
    <row r="27" spans="1:16">
      <c r="A27" s="7" t="s">
        <v>2105</v>
      </c>
      <c r="B27" s="7" t="s">
        <v>30</v>
      </c>
      <c r="C27" s="7" t="s">
        <v>2077</v>
      </c>
      <c r="D27" s="7"/>
      <c r="E27" s="7"/>
      <c r="F27" s="7"/>
      <c r="G27" s="7" t="s">
        <v>74</v>
      </c>
      <c r="H27" s="7">
        <v>1</v>
      </c>
      <c r="I27" s="7"/>
      <c r="J27" s="7" t="s">
        <v>2079</v>
      </c>
      <c r="K27" s="7" t="s">
        <v>2099</v>
      </c>
      <c r="L27" s="46"/>
      <c r="M27" s="7"/>
      <c r="N27" s="46"/>
      <c r="O27" s="76" t="s">
        <v>2107</v>
      </c>
    </row>
    <row r="28" spans="1:16">
      <c r="A28" s="7" t="s">
        <v>2109</v>
      </c>
      <c r="B28" s="7" t="s">
        <v>12</v>
      </c>
      <c r="C28" s="7" t="s">
        <v>2069</v>
      </c>
      <c r="D28" s="7" t="s">
        <v>2110</v>
      </c>
      <c r="E28" s="7" t="s">
        <v>1635</v>
      </c>
      <c r="F28" s="7"/>
      <c r="G28" s="7" t="s">
        <v>74</v>
      </c>
      <c r="H28" s="7"/>
      <c r="I28" s="7"/>
      <c r="J28" s="7"/>
      <c r="K28" s="7" t="s">
        <v>2099</v>
      </c>
      <c r="L28" s="46"/>
      <c r="M28" s="7"/>
      <c r="N28" s="46">
        <v>9</v>
      </c>
      <c r="O28" s="76" t="s">
        <v>2111</v>
      </c>
      <c r="P28" s="76" t="s">
        <v>2112</v>
      </c>
    </row>
    <row r="29" spans="1:16">
      <c r="A29" s="7" t="s">
        <v>2109</v>
      </c>
      <c r="B29" s="7" t="s">
        <v>33</v>
      </c>
      <c r="C29" s="7" t="s">
        <v>2074</v>
      </c>
      <c r="D29" s="7"/>
      <c r="E29" s="7"/>
      <c r="F29" s="7"/>
      <c r="G29" s="7" t="s">
        <v>74</v>
      </c>
      <c r="H29" s="7">
        <v>1</v>
      </c>
      <c r="I29" s="7"/>
      <c r="J29" s="7" t="s">
        <v>2079</v>
      </c>
      <c r="K29" s="7" t="s">
        <v>2099</v>
      </c>
      <c r="L29" s="46"/>
      <c r="M29" s="7"/>
      <c r="N29" s="46"/>
      <c r="O29" s="76" t="s">
        <v>2111</v>
      </c>
    </row>
    <row r="30" spans="1:16">
      <c r="A30" s="7" t="s">
        <v>2109</v>
      </c>
      <c r="B30" s="7" t="s">
        <v>33</v>
      </c>
      <c r="C30" s="7" t="s">
        <v>2076</v>
      </c>
      <c r="D30" s="7"/>
      <c r="E30" s="7"/>
      <c r="F30" s="7"/>
      <c r="G30" s="7" t="s">
        <v>74</v>
      </c>
      <c r="H30" s="7">
        <v>1</v>
      </c>
      <c r="I30" s="7"/>
      <c r="J30" s="7" t="s">
        <v>2079</v>
      </c>
      <c r="K30" s="7" t="s">
        <v>2099</v>
      </c>
      <c r="L30" s="46"/>
      <c r="M30" s="7"/>
      <c r="N30" s="46"/>
      <c r="O30" s="76" t="s">
        <v>2111</v>
      </c>
    </row>
    <row r="31" spans="1:16">
      <c r="A31" s="7" t="s">
        <v>2109</v>
      </c>
      <c r="B31" s="7" t="s">
        <v>30</v>
      </c>
      <c r="C31" s="7" t="s">
        <v>2077</v>
      </c>
      <c r="D31" s="7"/>
      <c r="E31" s="7"/>
      <c r="F31" s="7"/>
      <c r="G31" s="7" t="s">
        <v>74</v>
      </c>
      <c r="H31" s="7">
        <v>1</v>
      </c>
      <c r="I31" s="7"/>
      <c r="J31" s="7" t="s">
        <v>2079</v>
      </c>
      <c r="K31" s="7" t="s">
        <v>2099</v>
      </c>
      <c r="L31" s="46"/>
      <c r="M31" s="7"/>
      <c r="N31" s="46"/>
      <c r="O31" s="76" t="s">
        <v>2111</v>
      </c>
    </row>
    <row r="32" spans="1:16">
      <c r="A32" s="7" t="s">
        <v>2113</v>
      </c>
      <c r="B32" s="7" t="s">
        <v>12</v>
      </c>
      <c r="C32" s="7" t="s">
        <v>2069</v>
      </c>
      <c r="D32" s="7" t="s">
        <v>2114</v>
      </c>
      <c r="E32" s="7" t="s">
        <v>367</v>
      </c>
      <c r="F32" s="7"/>
      <c r="G32" s="7" t="s">
        <v>98</v>
      </c>
      <c r="H32" s="7"/>
      <c r="I32" s="7"/>
      <c r="J32" s="7"/>
      <c r="K32" s="7" t="s">
        <v>368</v>
      </c>
      <c r="L32" s="46"/>
      <c r="M32" s="7"/>
      <c r="N32" s="46">
        <v>10</v>
      </c>
      <c r="O32" s="76" t="s">
        <v>2115</v>
      </c>
      <c r="P32" s="76" t="s">
        <v>2116</v>
      </c>
    </row>
    <row r="33" spans="1:16">
      <c r="A33" s="7" t="s">
        <v>2113</v>
      </c>
      <c r="B33" s="7" t="s">
        <v>33</v>
      </c>
      <c r="C33" s="7" t="s">
        <v>2074</v>
      </c>
      <c r="D33" s="7" t="s">
        <v>371</v>
      </c>
      <c r="E33" s="7" t="s">
        <v>367</v>
      </c>
      <c r="F33" s="7"/>
      <c r="G33" s="7" t="s">
        <v>98</v>
      </c>
      <c r="H33" s="7"/>
      <c r="I33" s="7" t="s">
        <v>2117</v>
      </c>
      <c r="J33" s="7"/>
      <c r="K33" s="7" t="s">
        <v>368</v>
      </c>
      <c r="L33" s="46"/>
      <c r="M33" s="7"/>
      <c r="N33" s="46"/>
      <c r="O33" s="76" t="s">
        <v>2115</v>
      </c>
    </row>
    <row r="34" spans="1:16">
      <c r="A34" s="7" t="s">
        <v>2113</v>
      </c>
      <c r="B34" s="7" t="s">
        <v>33</v>
      </c>
      <c r="C34" s="7" t="s">
        <v>2076</v>
      </c>
      <c r="D34" s="7" t="s">
        <v>371</v>
      </c>
      <c r="E34" s="7" t="s">
        <v>367</v>
      </c>
      <c r="F34" s="7"/>
      <c r="G34" s="7" t="s">
        <v>98</v>
      </c>
      <c r="H34" s="7"/>
      <c r="I34" s="7" t="s">
        <v>2117</v>
      </c>
      <c r="J34" s="7"/>
      <c r="K34" s="7" t="s">
        <v>368</v>
      </c>
      <c r="L34" s="46"/>
      <c r="M34" s="7"/>
      <c r="N34" s="46"/>
      <c r="O34" s="76" t="s">
        <v>2115</v>
      </c>
    </row>
    <row r="35" spans="1:16">
      <c r="A35" s="7" t="s">
        <v>2113</v>
      </c>
      <c r="B35" s="7" t="s">
        <v>30</v>
      </c>
      <c r="C35" s="7" t="s">
        <v>2077</v>
      </c>
      <c r="D35" s="7" t="s">
        <v>371</v>
      </c>
      <c r="E35" s="7" t="s">
        <v>367</v>
      </c>
      <c r="F35" s="7"/>
      <c r="G35" s="7" t="s">
        <v>98</v>
      </c>
      <c r="H35" s="7"/>
      <c r="I35" s="7" t="s">
        <v>2117</v>
      </c>
      <c r="J35" s="7"/>
      <c r="K35" s="7" t="s">
        <v>368</v>
      </c>
      <c r="L35" s="46"/>
      <c r="M35" s="7"/>
      <c r="N35" s="46"/>
      <c r="O35" s="76" t="s">
        <v>2115</v>
      </c>
    </row>
    <row r="36" spans="1:16">
      <c r="A36" s="8" t="s">
        <v>350</v>
      </c>
      <c r="B36" s="8" t="s">
        <v>320</v>
      </c>
      <c r="C36" s="8"/>
      <c r="D36" s="8"/>
      <c r="E36" s="8" t="s">
        <v>351</v>
      </c>
      <c r="F36" s="8">
        <v>100</v>
      </c>
      <c r="G36" s="8" t="s">
        <v>98</v>
      </c>
      <c r="H36" s="8"/>
      <c r="I36" s="8"/>
      <c r="J36" s="8"/>
      <c r="K36" s="8" t="s">
        <v>327</v>
      </c>
      <c r="L36" s="46"/>
      <c r="M36" s="7"/>
      <c r="N36" s="46">
        <v>11</v>
      </c>
      <c r="O36" s="76" t="s">
        <v>2118</v>
      </c>
      <c r="P36" s="76" t="s">
        <v>2119</v>
      </c>
    </row>
    <row r="37" spans="1:16">
      <c r="A37" s="8" t="s">
        <v>354</v>
      </c>
      <c r="B37" s="8" t="s">
        <v>320</v>
      </c>
      <c r="C37" s="8"/>
      <c r="D37" s="8"/>
      <c r="E37" s="8" t="s">
        <v>351</v>
      </c>
      <c r="F37" s="8">
        <v>100</v>
      </c>
      <c r="G37" s="8" t="s">
        <v>98</v>
      </c>
      <c r="H37" s="8"/>
      <c r="I37" s="8"/>
      <c r="J37" s="8"/>
      <c r="K37" s="8" t="s">
        <v>327</v>
      </c>
      <c r="L37" s="46"/>
      <c r="M37" s="7"/>
      <c r="N37" s="46">
        <v>12</v>
      </c>
      <c r="O37" s="76" t="s">
        <v>2120</v>
      </c>
      <c r="P37" s="76" t="s">
        <v>2121</v>
      </c>
    </row>
    <row r="38" spans="1:16">
      <c r="A38" s="8" t="s">
        <v>357</v>
      </c>
      <c r="B38" s="8" t="s">
        <v>320</v>
      </c>
      <c r="C38" s="8"/>
      <c r="D38" s="8"/>
      <c r="E38" s="8" t="s">
        <v>351</v>
      </c>
      <c r="F38" s="8">
        <v>100</v>
      </c>
      <c r="G38" s="8" t="s">
        <v>98</v>
      </c>
      <c r="H38" s="8"/>
      <c r="I38" s="8"/>
      <c r="J38" s="8"/>
      <c r="K38" s="8" t="s">
        <v>327</v>
      </c>
      <c r="L38" s="46"/>
      <c r="M38" s="7"/>
      <c r="N38" s="46">
        <v>13</v>
      </c>
      <c r="O38" s="76" t="s">
        <v>2122</v>
      </c>
      <c r="P38" s="76" t="s">
        <v>2123</v>
      </c>
    </row>
    <row r="39" spans="1:16">
      <c r="A39" s="8" t="s">
        <v>360</v>
      </c>
      <c r="B39" s="8" t="s">
        <v>320</v>
      </c>
      <c r="C39" s="8"/>
      <c r="D39" s="8"/>
      <c r="E39" s="8" t="s">
        <v>351</v>
      </c>
      <c r="F39" s="8">
        <v>100</v>
      </c>
      <c r="G39" s="8" t="s">
        <v>98</v>
      </c>
      <c r="H39" s="8"/>
      <c r="I39" s="8"/>
      <c r="J39" s="8"/>
      <c r="K39" s="8" t="s">
        <v>327</v>
      </c>
      <c r="L39" s="46"/>
      <c r="M39" s="7"/>
      <c r="N39" s="46">
        <v>14</v>
      </c>
      <c r="O39" s="76" t="s">
        <v>2124</v>
      </c>
      <c r="P39" s="76" t="s">
        <v>2125</v>
      </c>
    </row>
    <row r="40" spans="1:16">
      <c r="A40" s="8" t="s">
        <v>363</v>
      </c>
      <c r="B40" s="8" t="s">
        <v>320</v>
      </c>
      <c r="C40" s="8"/>
      <c r="D40" s="8"/>
      <c r="E40" s="8" t="s">
        <v>351</v>
      </c>
      <c r="F40" s="8">
        <v>100</v>
      </c>
      <c r="G40" s="8" t="s">
        <v>98</v>
      </c>
      <c r="H40" s="8"/>
      <c r="I40" s="8"/>
      <c r="J40" s="8"/>
      <c r="K40" s="8" t="s">
        <v>327</v>
      </c>
      <c r="L40" s="46"/>
      <c r="M40" s="7"/>
      <c r="N40" s="46">
        <v>15</v>
      </c>
      <c r="O40" s="76" t="s">
        <v>2126</v>
      </c>
      <c r="P40" s="76" t="s">
        <v>2127</v>
      </c>
    </row>
    <row r="41" spans="1:16">
      <c r="A41" s="8" t="s">
        <v>366</v>
      </c>
      <c r="B41" s="8" t="s">
        <v>320</v>
      </c>
      <c r="C41" s="8"/>
      <c r="D41" s="8"/>
      <c r="E41" s="8" t="s">
        <v>367</v>
      </c>
      <c r="F41" s="8"/>
      <c r="G41" s="8" t="s">
        <v>98</v>
      </c>
      <c r="H41" s="8"/>
      <c r="I41" s="8"/>
      <c r="J41" s="8"/>
      <c r="K41" s="8" t="s">
        <v>368</v>
      </c>
      <c r="L41" s="46"/>
      <c r="M41" s="7"/>
      <c r="N41" s="46">
        <v>16</v>
      </c>
      <c r="O41" s="76" t="s">
        <v>2128</v>
      </c>
      <c r="P41" s="76" t="s">
        <v>2129</v>
      </c>
    </row>
    <row r="42" spans="1:16">
      <c r="A42" s="8" t="s">
        <v>371</v>
      </c>
      <c r="B42" s="8" t="s">
        <v>320</v>
      </c>
      <c r="C42" s="8"/>
      <c r="D42" s="8"/>
      <c r="E42" s="8" t="s">
        <v>367</v>
      </c>
      <c r="F42" s="8"/>
      <c r="G42" s="8" t="s">
        <v>98</v>
      </c>
      <c r="H42" s="8"/>
      <c r="I42" s="8"/>
      <c r="J42" s="8"/>
      <c r="K42" s="8" t="s">
        <v>368</v>
      </c>
      <c r="L42" s="46"/>
      <c r="M42" s="7"/>
      <c r="N42" s="46">
        <v>17</v>
      </c>
      <c r="O42" s="76" t="s">
        <v>2130</v>
      </c>
      <c r="P42" s="76" t="s">
        <v>2131</v>
      </c>
    </row>
    <row r="43" spans="1:16">
      <c r="A43" s="8" t="s">
        <v>374</v>
      </c>
      <c r="B43" s="8" t="s">
        <v>320</v>
      </c>
      <c r="C43" s="8"/>
      <c r="D43" s="8"/>
      <c r="E43" s="8" t="s">
        <v>351</v>
      </c>
      <c r="F43" s="8">
        <v>100</v>
      </c>
      <c r="G43" s="8" t="s">
        <v>98</v>
      </c>
      <c r="H43" s="8"/>
      <c r="I43" s="8"/>
      <c r="J43" s="8"/>
      <c r="K43" s="8" t="s">
        <v>327</v>
      </c>
      <c r="L43" s="46"/>
      <c r="M43" s="7"/>
      <c r="N43" s="46">
        <v>18</v>
      </c>
      <c r="O43" s="76" t="s">
        <v>2132</v>
      </c>
      <c r="P43" s="76" t="s">
        <v>2133</v>
      </c>
    </row>
    <row r="45" spans="1:16">
      <c r="A45" s="21" t="s">
        <v>2134</v>
      </c>
    </row>
    <row r="46" spans="1:16">
      <c r="A46" t="s">
        <v>2135</v>
      </c>
      <c r="M46" t="str">
        <f ca="1">UPPER(_xlfn.CONCAT(DEC2HEX(RANDBETWEEN(0,4294967295),8),"-",DEC2HEX(RANDBETWEEN(0,65535),4),"-",DEC2HEX(RANDBETWEEN(0,65535),4),"-",DEC2HEX(RANDBETWEEN(0,65535),4),"-",DEC2HEX(RANDBETWEEN(0,4294967295),8),DEC2HEX(RANDBETWEEN(0,65535),4)))</f>
        <v>3CC7A1A6-7C05-E741-7E7A-B2D2E750CE2F</v>
      </c>
      <c r="N46" t="str">
        <f ca="1">M46</f>
        <v>3CC7A1A6-7C05-E741-7E7A-B2D2E750CE2F</v>
      </c>
    </row>
    <row r="47" spans="1:16">
      <c r="A47" t="s">
        <v>2136</v>
      </c>
    </row>
    <row r="48" spans="1:16">
      <c r="A48" s="32" t="s">
        <v>2137</v>
      </c>
    </row>
    <row r="49" spans="1:1">
      <c r="A49" t="s">
        <v>2138</v>
      </c>
    </row>
    <row r="50" spans="1:1">
      <c r="A50" t="s">
        <v>2139</v>
      </c>
    </row>
    <row r="51" spans="1:1">
      <c r="A51" t="s">
        <v>2140</v>
      </c>
    </row>
    <row r="58" spans="1:1">
      <c r="A58" t="s">
        <v>2141</v>
      </c>
    </row>
    <row r="59" spans="1:1">
      <c r="A59" s="21" t="s">
        <v>2142</v>
      </c>
    </row>
    <row r="60" spans="1:1">
      <c r="A60" s="21" t="s">
        <v>2143</v>
      </c>
    </row>
  </sheetData>
  <conditionalFormatting sqref="O3:O7">
    <cfRule type="duplicateValues" dxfId="194" priority="6"/>
  </conditionalFormatting>
  <conditionalFormatting sqref="O3:O7">
    <cfRule type="expression" dxfId="193" priority="1">
      <formula>$J3="Y"</formula>
    </cfRule>
    <cfRule type="expression" dxfId="192" priority="2">
      <formula>$H3="Foreign"</formula>
    </cfRule>
    <cfRule type="expression" dxfId="191" priority="3">
      <formula>$H3="Business"</formula>
    </cfRule>
    <cfRule type="expression" dxfId="190" priority="4">
      <formula>$H3="Primary"</formula>
    </cfRule>
  </conditionalFormatting>
  <conditionalFormatting sqref="O8:O11">
    <cfRule type="expression" dxfId="189" priority="15">
      <formula>$J5="Y"</formula>
    </cfRule>
    <cfRule type="expression" dxfId="188" priority="16">
      <formula>$H5="Foreign"</formula>
    </cfRule>
    <cfRule type="expression" dxfId="187" priority="17">
      <formula>$H5="Business"</formula>
    </cfRule>
    <cfRule type="expression" dxfId="186" priority="18">
      <formula>$H5="Primary"</formula>
    </cfRule>
  </conditionalFormatting>
  <conditionalFormatting sqref="O12:O15">
    <cfRule type="expression" dxfId="185" priority="27">
      <formula>$J6="Y"</formula>
    </cfRule>
    <cfRule type="expression" dxfId="184" priority="28">
      <formula>$H6="Foreign"</formula>
    </cfRule>
    <cfRule type="expression" dxfId="183" priority="29">
      <formula>$H6="Business"</formula>
    </cfRule>
    <cfRule type="expression" dxfId="182" priority="30">
      <formula>$H6="Primary"</formula>
    </cfRule>
  </conditionalFormatting>
  <conditionalFormatting sqref="O20:O23">
    <cfRule type="expression" dxfId="181" priority="54">
      <formula>$J10="Y"</formula>
    </cfRule>
    <cfRule type="expression" dxfId="180" priority="55">
      <formula>$H10="Foreign"</formula>
    </cfRule>
    <cfRule type="expression" dxfId="179" priority="56">
      <formula>$H10="Business"</formula>
    </cfRule>
    <cfRule type="expression" dxfId="178" priority="57">
      <formula>$H10="Primary"</formula>
    </cfRule>
  </conditionalFormatting>
  <conditionalFormatting sqref="O24:O27">
    <cfRule type="expression" dxfId="177" priority="69">
      <formula>$J12="Y"</formula>
    </cfRule>
    <cfRule type="expression" dxfId="176" priority="70">
      <formula>$H12="Foreign"</formula>
    </cfRule>
    <cfRule type="expression" dxfId="175" priority="71">
      <formula>$H12="Business"</formula>
    </cfRule>
    <cfRule type="expression" dxfId="174" priority="72">
      <formula>$H12="Primary"</formula>
    </cfRule>
  </conditionalFormatting>
  <conditionalFormatting sqref="O28:O31">
    <cfRule type="expression" dxfId="173" priority="85">
      <formula>$J13="Y"</formula>
    </cfRule>
    <cfRule type="expression" dxfId="172" priority="86">
      <formula>$H13="Foreign"</formula>
    </cfRule>
    <cfRule type="expression" dxfId="171" priority="87">
      <formula>$H13="Business"</formula>
    </cfRule>
    <cfRule type="expression" dxfId="170" priority="88">
      <formula>$H13="Primary"</formula>
    </cfRule>
  </conditionalFormatting>
  <conditionalFormatting sqref="O32:O35">
    <cfRule type="expression" dxfId="169" priority="102">
      <formula>$J14="Y"</formula>
    </cfRule>
    <cfRule type="expression" dxfId="168" priority="103">
      <formula>$H14="Foreign"</formula>
    </cfRule>
    <cfRule type="expression" dxfId="167" priority="104">
      <formula>$H14="Business"</formula>
    </cfRule>
    <cfRule type="expression" dxfId="166" priority="105">
      <formula>$H14="Primary"</formula>
    </cfRule>
  </conditionalFormatting>
  <conditionalFormatting sqref="O3:O43">
    <cfRule type="duplicateValues" dxfId="165" priority="106"/>
  </conditionalFormatting>
  <conditionalFormatting sqref="O37:O39">
    <cfRule type="expression" dxfId="164" priority="302">
      <formula>$J16="Y"</formula>
    </cfRule>
    <cfRule type="expression" dxfId="163" priority="303">
      <formula>$H16="Foreign"</formula>
    </cfRule>
    <cfRule type="expression" dxfId="162" priority="304">
      <formula>$H16="Business"</formula>
    </cfRule>
    <cfRule type="expression" dxfId="161" priority="305">
      <formula>$H16="Primary"</formula>
    </cfRule>
  </conditionalFormatting>
  <conditionalFormatting sqref="O43">
    <cfRule type="expression" dxfId="160" priority="310">
      <formula>$J24="Y"</formula>
    </cfRule>
    <cfRule type="expression" dxfId="159" priority="311">
      <formula>$H24="Foreign"</formula>
    </cfRule>
    <cfRule type="expression" dxfId="158" priority="312">
      <formula>$H24="Business"</formula>
    </cfRule>
    <cfRule type="expression" dxfId="157" priority="313">
      <formula>$H24="Primary"</formula>
    </cfRule>
  </conditionalFormatting>
  <conditionalFormatting sqref="O40:O42">
    <cfRule type="expression" dxfId="156" priority="314">
      <formula>$J20="Y"</formula>
    </cfRule>
    <cfRule type="expression" dxfId="155" priority="315">
      <formula>$H20="Foreign"</formula>
    </cfRule>
    <cfRule type="expression" dxfId="154" priority="316">
      <formula>$H20="Business"</formula>
    </cfRule>
    <cfRule type="expression" dxfId="153" priority="317">
      <formula>$H20="Primary"</formula>
    </cfRule>
  </conditionalFormatting>
  <conditionalFormatting sqref="O16:O19">
    <cfRule type="expression" dxfId="152" priority="318">
      <formula>$J9="Y"</formula>
    </cfRule>
    <cfRule type="expression" dxfId="151" priority="319">
      <formula>$H9="Foreign"</formula>
    </cfRule>
    <cfRule type="expression" dxfId="150" priority="320">
      <formula>$H9="Business"</formula>
    </cfRule>
    <cfRule type="expression" dxfId="149" priority="321">
      <formula>$H9="Primary"</formula>
    </cfRule>
  </conditionalFormatting>
  <conditionalFormatting sqref="O36">
    <cfRule type="expression" dxfId="148" priority="330">
      <formula>#REF!="Y"</formula>
    </cfRule>
    <cfRule type="expression" dxfId="147" priority="331">
      <formula>#REF!="Foreign"</formula>
    </cfRule>
    <cfRule type="expression" dxfId="146" priority="332">
      <formula>#REF!="Business"</formula>
    </cfRule>
    <cfRule type="expression" dxfId="145" priority="333">
      <formula>#REF!="Primary"</formula>
    </cfRule>
  </conditionalFormatting>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F0"/>
  </sheetPr>
  <dimension ref="A1:R42"/>
  <sheetViews>
    <sheetView workbookViewId="0">
      <pane xSplit="1" ySplit="2" topLeftCell="B3" activePane="bottomRight" state="frozen"/>
      <selection pane="bottomRight" activeCell="D13" sqref="D13"/>
      <selection pane="bottomLeft" activeCell="A3" sqref="A3"/>
      <selection pane="topRight" activeCell="B1" sqref="B1"/>
    </sheetView>
  </sheetViews>
  <sheetFormatPr defaultRowHeight="15" customHeight="1"/>
  <cols>
    <col min="1" max="1" width="50.28515625" customWidth="1"/>
    <col min="2" max="2" width="16.5703125" customWidth="1"/>
    <col min="3" max="3" width="14.85546875" customWidth="1"/>
    <col min="4" max="6" width="20.7109375" customWidth="1"/>
    <col min="7" max="9" width="15.7109375" customWidth="1"/>
    <col min="10" max="10" width="45.5703125" customWidth="1"/>
    <col min="11" max="13" width="20.7109375" customWidth="1"/>
    <col min="14" max="14" width="14.7109375" style="44" customWidth="1"/>
    <col min="15" max="15" width="45.140625" customWidth="1"/>
    <col min="16" max="16" width="16.7109375" style="44" bestFit="1" customWidth="1"/>
    <col min="17" max="17" width="39.85546875" bestFit="1" customWidth="1"/>
    <col min="18" max="18" width="38.28515625" bestFit="1" customWidth="1"/>
  </cols>
  <sheetData>
    <row r="1" spans="1:18" ht="60" customHeight="1">
      <c r="A1" s="1" t="s">
        <v>93</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2144</v>
      </c>
      <c r="B3" s="6"/>
      <c r="C3" s="6"/>
      <c r="D3" s="6" t="s">
        <v>320</v>
      </c>
      <c r="E3" s="6"/>
      <c r="F3" s="6"/>
      <c r="G3" s="6" t="s">
        <v>319</v>
      </c>
      <c r="H3" s="6"/>
      <c r="I3" s="6" t="s">
        <v>98</v>
      </c>
      <c r="J3" s="6" t="s">
        <v>321</v>
      </c>
      <c r="K3" s="6"/>
      <c r="L3" s="6"/>
      <c r="M3" s="6">
        <v>-1</v>
      </c>
      <c r="N3" s="46"/>
      <c r="O3" s="7"/>
      <c r="P3" s="46">
        <v>1</v>
      </c>
      <c r="Q3" s="88" t="s">
        <v>2145</v>
      </c>
      <c r="R3" t="s">
        <v>2146</v>
      </c>
    </row>
    <row r="4" spans="1:18" ht="14.45">
      <c r="A4" s="9" t="s">
        <v>2147</v>
      </c>
      <c r="B4" s="9" t="s">
        <v>351</v>
      </c>
      <c r="C4" s="9">
        <v>50</v>
      </c>
      <c r="D4" s="9" t="s">
        <v>12</v>
      </c>
      <c r="E4" s="9" t="s">
        <v>95</v>
      </c>
      <c r="F4" s="9" t="s">
        <v>2148</v>
      </c>
      <c r="G4" s="9" t="s">
        <v>431</v>
      </c>
      <c r="H4" s="9"/>
      <c r="I4" s="9" t="s">
        <v>98</v>
      </c>
      <c r="J4" s="9" t="s">
        <v>2149</v>
      </c>
      <c r="K4" s="9"/>
      <c r="L4" s="9"/>
      <c r="M4" s="9" t="s">
        <v>327</v>
      </c>
      <c r="N4" s="46"/>
      <c r="O4" s="7"/>
      <c r="P4" s="46">
        <v>2</v>
      </c>
      <c r="Q4" s="76" t="s">
        <v>2150</v>
      </c>
      <c r="R4" s="76" t="s">
        <v>2151</v>
      </c>
    </row>
    <row r="5" spans="1:18" ht="14.45">
      <c r="A5" s="9" t="s">
        <v>1230</v>
      </c>
      <c r="B5" s="9" t="s">
        <v>351</v>
      </c>
      <c r="C5" s="9">
        <v>50</v>
      </c>
      <c r="D5" s="9" t="s">
        <v>12</v>
      </c>
      <c r="E5" s="9" t="s">
        <v>138</v>
      </c>
      <c r="F5" s="9" t="s">
        <v>2152</v>
      </c>
      <c r="G5" s="9" t="s">
        <v>351</v>
      </c>
      <c r="H5" s="9">
        <v>20</v>
      </c>
      <c r="I5" s="9" t="s">
        <v>98</v>
      </c>
      <c r="J5" s="9" t="s">
        <v>2153</v>
      </c>
      <c r="K5" s="9"/>
      <c r="L5" s="9"/>
      <c r="M5" s="9" t="s">
        <v>327</v>
      </c>
      <c r="N5" s="46"/>
      <c r="O5" s="7"/>
      <c r="P5" s="46">
        <v>3</v>
      </c>
      <c r="Q5" t="str">
        <f t="shared" ref="Q5:Q6" ca="1" si="0">UPPER(
DEC2HEX(RANDBETWEEN(0,65535),4)&amp;DEC2HEX(RANDBETWEEN(0,65535),4)&amp;"-"&amp;
DEC2HEX(RANDBETWEEN(0,65535),4)&amp;"-"&amp;
DEC2HEX(RANDBETWEEN(0,65535),4)&amp;"-"&amp;
DEC2HEX(RANDBETWEEN(0,65535),4)&amp;"-"&amp;
DEC2HEX(RANDBETWEEN(0,65535),4)&amp;DEC2HEX(RANDBETWEEN(0,65535),4)&amp;DEC2HEX(RANDBETWEEN(0,65535),4)
)</f>
        <v>95C5A149-74DB-7DC3-2590-8158C2EC9766</v>
      </c>
      <c r="R5" s="76" t="s">
        <v>2154</v>
      </c>
    </row>
    <row r="6" spans="1:18" ht="14.45">
      <c r="A6" s="9" t="s">
        <v>487</v>
      </c>
      <c r="B6" s="9" t="s">
        <v>351</v>
      </c>
      <c r="C6" s="9">
        <v>50</v>
      </c>
      <c r="D6" s="9" t="s">
        <v>12</v>
      </c>
      <c r="E6" s="9" t="s">
        <v>138</v>
      </c>
      <c r="F6" s="9" t="s">
        <v>2155</v>
      </c>
      <c r="G6" s="9" t="s">
        <v>325</v>
      </c>
      <c r="H6" s="9">
        <v>10</v>
      </c>
      <c r="I6" s="9" t="s">
        <v>98</v>
      </c>
      <c r="J6" s="9" t="s">
        <v>2153</v>
      </c>
      <c r="K6" s="9"/>
      <c r="L6" s="9"/>
      <c r="M6" s="9" t="s">
        <v>327</v>
      </c>
      <c r="N6" s="46"/>
      <c r="O6" s="7"/>
      <c r="P6" s="46">
        <v>4</v>
      </c>
      <c r="Q6" t="str">
        <f t="shared" ca="1" si="0"/>
        <v>CBD2F712-23E3-5BED-31BE-5C0F1E566AD9</v>
      </c>
      <c r="R6" s="76" t="s">
        <v>2156</v>
      </c>
    </row>
    <row r="7" spans="1:18" ht="14.45">
      <c r="A7" s="84" t="s">
        <v>1235</v>
      </c>
      <c r="B7" s="84" t="s">
        <v>319</v>
      </c>
      <c r="C7" s="84"/>
      <c r="D7" s="84" t="s">
        <v>60</v>
      </c>
      <c r="E7" s="84" t="s">
        <v>118</v>
      </c>
      <c r="F7" s="84" t="s">
        <v>1235</v>
      </c>
      <c r="G7" s="84" t="s">
        <v>319</v>
      </c>
      <c r="H7" s="84"/>
      <c r="I7" s="84" t="s">
        <v>74</v>
      </c>
      <c r="J7" s="84"/>
      <c r="K7" s="84"/>
      <c r="L7" s="84"/>
      <c r="M7" s="84">
        <v>-1</v>
      </c>
      <c r="N7" s="46"/>
      <c r="O7" s="7"/>
      <c r="P7" s="46">
        <v>5</v>
      </c>
      <c r="Q7" s="88" t="s">
        <v>2157</v>
      </c>
      <c r="R7" s="79" t="s">
        <v>2158</v>
      </c>
    </row>
    <row r="8" spans="1:18" ht="14.45">
      <c r="A8" s="7" t="s">
        <v>2159</v>
      </c>
      <c r="B8" s="7" t="s">
        <v>351</v>
      </c>
      <c r="C8" s="7">
        <v>10</v>
      </c>
      <c r="D8" s="7" t="s">
        <v>12</v>
      </c>
      <c r="E8" s="7" t="s">
        <v>95</v>
      </c>
      <c r="F8" s="7" t="s">
        <v>2160</v>
      </c>
      <c r="G8" s="7" t="s">
        <v>351</v>
      </c>
      <c r="H8" s="7">
        <v>10</v>
      </c>
      <c r="I8" s="7" t="s">
        <v>74</v>
      </c>
      <c r="J8" s="7"/>
      <c r="K8" s="7"/>
      <c r="L8" s="7"/>
      <c r="M8" s="7" t="s">
        <v>327</v>
      </c>
      <c r="N8" s="46"/>
      <c r="O8" s="7" t="s">
        <v>2161</v>
      </c>
      <c r="P8" s="46">
        <v>6</v>
      </c>
      <c r="Q8" s="76" t="s">
        <v>2162</v>
      </c>
      <c r="R8" s="76" t="s">
        <v>2163</v>
      </c>
    </row>
    <row r="9" spans="1:18" ht="16.5" customHeight="1">
      <c r="A9" s="7" t="s">
        <v>2164</v>
      </c>
      <c r="B9" s="7" t="s">
        <v>351</v>
      </c>
      <c r="C9" s="7">
        <v>60</v>
      </c>
      <c r="D9" s="7" t="s">
        <v>12</v>
      </c>
      <c r="E9" s="7" t="s">
        <v>95</v>
      </c>
      <c r="F9" s="7" t="s">
        <v>2165</v>
      </c>
      <c r="G9" s="7" t="s">
        <v>351</v>
      </c>
      <c r="H9" s="7">
        <v>60</v>
      </c>
      <c r="I9" s="7" t="s">
        <v>74</v>
      </c>
      <c r="J9" s="50" t="s">
        <v>2166</v>
      </c>
      <c r="K9" s="7"/>
      <c r="L9" s="7"/>
      <c r="M9" s="7" t="s">
        <v>327</v>
      </c>
      <c r="N9" s="46"/>
      <c r="O9" s="7"/>
      <c r="P9" s="46">
        <v>7</v>
      </c>
      <c r="Q9" s="76" t="s">
        <v>2167</v>
      </c>
      <c r="R9" s="76" t="s">
        <v>2168</v>
      </c>
    </row>
    <row r="10" spans="1:18" ht="87">
      <c r="A10" s="7" t="s">
        <v>2169</v>
      </c>
      <c r="B10" s="7" t="s">
        <v>351</v>
      </c>
      <c r="C10" s="7">
        <v>60</v>
      </c>
      <c r="D10" s="7" t="s">
        <v>12</v>
      </c>
      <c r="E10" s="7" t="s">
        <v>95</v>
      </c>
      <c r="F10" s="7" t="s">
        <v>2170</v>
      </c>
      <c r="G10" s="7" t="s">
        <v>351</v>
      </c>
      <c r="H10" s="7">
        <v>60</v>
      </c>
      <c r="I10" s="7" t="s">
        <v>74</v>
      </c>
      <c r="J10" s="50" t="s">
        <v>2166</v>
      </c>
      <c r="K10" s="7"/>
      <c r="L10" s="7"/>
      <c r="M10" s="7" t="s">
        <v>327</v>
      </c>
      <c r="N10" s="46"/>
      <c r="O10" s="7"/>
      <c r="P10" s="46">
        <v>8</v>
      </c>
      <c r="Q10" s="76" t="s">
        <v>2171</v>
      </c>
      <c r="R10" s="76" t="s">
        <v>2172</v>
      </c>
    </row>
    <row r="11" spans="1:18" ht="87">
      <c r="A11" s="7" t="s">
        <v>2173</v>
      </c>
      <c r="B11" s="7" t="s">
        <v>351</v>
      </c>
      <c r="C11" s="7">
        <v>60</v>
      </c>
      <c r="D11" s="7" t="s">
        <v>12</v>
      </c>
      <c r="E11" s="7" t="s">
        <v>95</v>
      </c>
      <c r="F11" s="7" t="s">
        <v>2174</v>
      </c>
      <c r="G11" s="7" t="s">
        <v>351</v>
      </c>
      <c r="H11" s="7">
        <v>60</v>
      </c>
      <c r="I11" s="7" t="s">
        <v>74</v>
      </c>
      <c r="J11" s="50" t="s">
        <v>2166</v>
      </c>
      <c r="K11" s="7"/>
      <c r="L11" s="7"/>
      <c r="M11" s="7" t="s">
        <v>327</v>
      </c>
      <c r="N11" s="46"/>
      <c r="O11" s="7"/>
      <c r="P11" s="46">
        <v>9</v>
      </c>
      <c r="Q11" s="76" t="s">
        <v>2175</v>
      </c>
      <c r="R11" s="76" t="s">
        <v>2176</v>
      </c>
    </row>
    <row r="12" spans="1:18" ht="14.45">
      <c r="A12" s="7" t="s">
        <v>2177</v>
      </c>
      <c r="B12" s="7" t="s">
        <v>351</v>
      </c>
      <c r="C12" s="7">
        <v>60</v>
      </c>
      <c r="D12" s="7" t="s">
        <v>12</v>
      </c>
      <c r="E12" s="7" t="s">
        <v>95</v>
      </c>
      <c r="F12" s="7" t="s">
        <v>2178</v>
      </c>
      <c r="G12" s="7" t="s">
        <v>351</v>
      </c>
      <c r="H12" s="7">
        <v>60</v>
      </c>
      <c r="I12" s="7" t="s">
        <v>74</v>
      </c>
      <c r="J12" s="7" t="s">
        <v>2166</v>
      </c>
      <c r="K12" s="7"/>
      <c r="L12" s="7"/>
      <c r="M12" s="7" t="s">
        <v>327</v>
      </c>
      <c r="N12" s="46"/>
      <c r="O12" s="7"/>
      <c r="P12" s="46">
        <v>10</v>
      </c>
      <c r="Q12" s="76" t="s">
        <v>2179</v>
      </c>
      <c r="R12" s="76" t="s">
        <v>2180</v>
      </c>
    </row>
    <row r="13" spans="1:18" ht="14.45">
      <c r="A13" s="7" t="s">
        <v>2181</v>
      </c>
      <c r="B13" s="7" t="s">
        <v>351</v>
      </c>
      <c r="C13" s="7">
        <v>60</v>
      </c>
      <c r="D13" s="7" t="s">
        <v>12</v>
      </c>
      <c r="E13" s="7" t="s">
        <v>95</v>
      </c>
      <c r="F13" s="7" t="s">
        <v>2182</v>
      </c>
      <c r="G13" s="7" t="s">
        <v>351</v>
      </c>
      <c r="H13" s="7">
        <v>60</v>
      </c>
      <c r="I13" s="7" t="s">
        <v>74</v>
      </c>
      <c r="J13" s="7" t="s">
        <v>2166</v>
      </c>
      <c r="K13" s="7"/>
      <c r="L13" s="7"/>
      <c r="M13" s="7" t="s">
        <v>327</v>
      </c>
      <c r="N13" s="46"/>
      <c r="O13" s="7"/>
      <c r="P13" s="46">
        <v>11</v>
      </c>
      <c r="Q13" s="76" t="s">
        <v>2183</v>
      </c>
      <c r="R13" s="76" t="s">
        <v>2184</v>
      </c>
    </row>
    <row r="14" spans="1:18" ht="14.45">
      <c r="A14" s="7" t="s">
        <v>496</v>
      </c>
      <c r="B14" s="7" t="s">
        <v>351</v>
      </c>
      <c r="C14" s="7">
        <v>50</v>
      </c>
      <c r="D14" s="7" t="s">
        <v>12</v>
      </c>
      <c r="E14" s="7" t="s">
        <v>95</v>
      </c>
      <c r="F14" s="7" t="s">
        <v>497</v>
      </c>
      <c r="G14" s="7" t="s">
        <v>351</v>
      </c>
      <c r="H14" s="7">
        <v>50</v>
      </c>
      <c r="I14" s="7" t="s">
        <v>74</v>
      </c>
      <c r="J14" s="7"/>
      <c r="K14" s="7"/>
      <c r="L14" s="7"/>
      <c r="M14" s="7" t="s">
        <v>327</v>
      </c>
      <c r="N14" s="46"/>
      <c r="O14" s="7"/>
      <c r="P14" s="46">
        <v>12</v>
      </c>
      <c r="Q14" s="76" t="s">
        <v>2185</v>
      </c>
      <c r="R14" s="76" t="s">
        <v>2186</v>
      </c>
    </row>
    <row r="15" spans="1:18" ht="14.45">
      <c r="A15" s="20" t="s">
        <v>500</v>
      </c>
      <c r="B15" s="127" t="s">
        <v>351</v>
      </c>
      <c r="C15" s="20">
        <v>50</v>
      </c>
      <c r="D15" s="20" t="s">
        <v>66</v>
      </c>
      <c r="E15" s="20" t="s">
        <v>154</v>
      </c>
      <c r="F15" s="20" t="s">
        <v>500</v>
      </c>
      <c r="G15" s="20" t="s">
        <v>351</v>
      </c>
      <c r="H15" s="20">
        <v>2</v>
      </c>
      <c r="I15" s="20" t="s">
        <v>74</v>
      </c>
      <c r="J15" s="20" t="s">
        <v>2187</v>
      </c>
      <c r="K15" s="20"/>
      <c r="L15" s="20"/>
      <c r="M15" s="20" t="s">
        <v>327</v>
      </c>
      <c r="N15" s="46"/>
      <c r="O15" s="7" t="s">
        <v>2188</v>
      </c>
      <c r="P15" s="46">
        <v>13</v>
      </c>
      <c r="Q15" s="76" t="s">
        <v>2189</v>
      </c>
      <c r="R15" s="76" t="s">
        <v>2190</v>
      </c>
    </row>
    <row r="16" spans="1:18" ht="14.45">
      <c r="A16" s="7" t="s">
        <v>2191</v>
      </c>
      <c r="B16" s="7" t="s">
        <v>351</v>
      </c>
      <c r="C16" s="7">
        <v>50</v>
      </c>
      <c r="D16" s="7" t="s">
        <v>12</v>
      </c>
      <c r="E16" s="7" t="s">
        <v>95</v>
      </c>
      <c r="F16" s="7" t="s">
        <v>2192</v>
      </c>
      <c r="G16" s="7" t="s">
        <v>351</v>
      </c>
      <c r="H16" s="7">
        <v>50</v>
      </c>
      <c r="I16" s="7" t="s">
        <v>74</v>
      </c>
      <c r="J16" s="7"/>
      <c r="K16" s="7"/>
      <c r="L16" s="7"/>
      <c r="M16" s="7" t="s">
        <v>327</v>
      </c>
      <c r="N16" s="46"/>
      <c r="O16" s="7"/>
      <c r="P16" s="46">
        <v>14</v>
      </c>
      <c r="Q16" s="76" t="s">
        <v>2193</v>
      </c>
      <c r="R16" s="76" t="s">
        <v>2194</v>
      </c>
    </row>
    <row r="17" spans="1:18" ht="14.45">
      <c r="A17" s="7" t="s">
        <v>2195</v>
      </c>
      <c r="B17" s="7" t="s">
        <v>351</v>
      </c>
      <c r="C17" s="7">
        <v>12</v>
      </c>
      <c r="D17" s="7" t="s">
        <v>12</v>
      </c>
      <c r="E17" s="7" t="s">
        <v>95</v>
      </c>
      <c r="F17" s="7" t="s">
        <v>974</v>
      </c>
      <c r="G17" s="7" t="s">
        <v>351</v>
      </c>
      <c r="H17" s="7">
        <v>12</v>
      </c>
      <c r="I17" s="7" t="s">
        <v>74</v>
      </c>
      <c r="J17" s="7"/>
      <c r="K17" s="7"/>
      <c r="L17" s="7"/>
      <c r="M17" s="7" t="s">
        <v>327</v>
      </c>
      <c r="N17" s="46"/>
      <c r="O17" s="7"/>
      <c r="P17" s="46">
        <v>15</v>
      </c>
      <c r="Q17" s="76" t="s">
        <v>2196</v>
      </c>
      <c r="R17" s="76" t="s">
        <v>2197</v>
      </c>
    </row>
    <row r="18" spans="1:18" ht="14.45">
      <c r="A18" s="7" t="s">
        <v>2198</v>
      </c>
      <c r="B18" s="7" t="s">
        <v>351</v>
      </c>
      <c r="C18" s="7">
        <v>500</v>
      </c>
      <c r="D18" s="7" t="s">
        <v>12</v>
      </c>
      <c r="E18" s="7" t="s">
        <v>95</v>
      </c>
      <c r="F18" s="7" t="s">
        <v>2165</v>
      </c>
      <c r="G18" s="7" t="s">
        <v>351</v>
      </c>
      <c r="H18" s="7">
        <v>500</v>
      </c>
      <c r="I18" s="7" t="s">
        <v>74</v>
      </c>
      <c r="J18" s="7" t="s">
        <v>2199</v>
      </c>
      <c r="K18" s="7"/>
      <c r="L18" s="7"/>
      <c r="M18" s="7" t="s">
        <v>327</v>
      </c>
      <c r="N18" s="46"/>
      <c r="O18" s="7"/>
      <c r="P18" s="46">
        <v>16</v>
      </c>
      <c r="Q18" s="76" t="s">
        <v>2200</v>
      </c>
      <c r="R18" s="76" t="s">
        <v>2201</v>
      </c>
    </row>
    <row r="19" spans="1:18" ht="14.45">
      <c r="A19" s="7" t="s">
        <v>345</v>
      </c>
      <c r="B19" s="7" t="s">
        <v>346</v>
      </c>
      <c r="C19" s="7"/>
      <c r="D19" s="7" t="s">
        <v>12</v>
      </c>
      <c r="E19" s="7" t="s">
        <v>95</v>
      </c>
      <c r="F19" s="7" t="s">
        <v>347</v>
      </c>
      <c r="G19" s="7" t="s">
        <v>346</v>
      </c>
      <c r="H19" s="7"/>
      <c r="I19" s="7" t="s">
        <v>98</v>
      </c>
      <c r="J19" s="7"/>
      <c r="K19" s="7"/>
      <c r="L19" s="7"/>
      <c r="M19" s="7" t="b">
        <v>0</v>
      </c>
      <c r="N19" s="46"/>
      <c r="O19" s="7"/>
      <c r="P19" s="46">
        <v>17</v>
      </c>
      <c r="Q19" s="76" t="s">
        <v>2202</v>
      </c>
      <c r="R19" s="76" t="s">
        <v>2203</v>
      </c>
    </row>
    <row r="20" spans="1:18" ht="14.45">
      <c r="A20" s="7" t="s">
        <v>1590</v>
      </c>
      <c r="B20" s="7" t="s">
        <v>367</v>
      </c>
      <c r="C20" s="7"/>
      <c r="D20" s="7" t="s">
        <v>12</v>
      </c>
      <c r="E20" s="7" t="s">
        <v>95</v>
      </c>
      <c r="F20" s="7" t="s">
        <v>2204</v>
      </c>
      <c r="G20" s="7" t="s">
        <v>367</v>
      </c>
      <c r="H20" s="7"/>
      <c r="I20" s="7" t="s">
        <v>98</v>
      </c>
      <c r="J20" s="7"/>
      <c r="K20" s="7"/>
      <c r="L20" s="7"/>
      <c r="M20" s="7" t="s">
        <v>368</v>
      </c>
      <c r="N20" s="46"/>
      <c r="O20" s="7"/>
      <c r="P20" s="46">
        <v>18</v>
      </c>
      <c r="Q20" s="76" t="s">
        <v>2205</v>
      </c>
      <c r="R20" s="76" t="s">
        <v>2206</v>
      </c>
    </row>
    <row r="21" spans="1:18" ht="14.45">
      <c r="A21" s="8" t="s">
        <v>350</v>
      </c>
      <c r="B21" s="8"/>
      <c r="C21" s="8"/>
      <c r="D21" s="8" t="s">
        <v>320</v>
      </c>
      <c r="E21" s="8"/>
      <c r="F21" s="8"/>
      <c r="G21" s="8" t="s">
        <v>351</v>
      </c>
      <c r="H21" s="8">
        <v>100</v>
      </c>
      <c r="I21" s="8" t="s">
        <v>98</v>
      </c>
      <c r="J21" s="8"/>
      <c r="K21" s="8"/>
      <c r="L21" s="8"/>
      <c r="M21" s="8" t="s">
        <v>327</v>
      </c>
      <c r="N21" s="46"/>
      <c r="O21" s="7"/>
      <c r="P21" s="46">
        <v>19</v>
      </c>
      <c r="Q21" s="88" t="s">
        <v>2207</v>
      </c>
      <c r="R21" t="s">
        <v>2208</v>
      </c>
    </row>
    <row r="22" spans="1:18" ht="14.45">
      <c r="A22" s="8" t="s">
        <v>354</v>
      </c>
      <c r="B22" s="8"/>
      <c r="C22" s="8"/>
      <c r="D22" s="8" t="s">
        <v>320</v>
      </c>
      <c r="E22" s="8"/>
      <c r="F22" s="8"/>
      <c r="G22" s="8" t="s">
        <v>351</v>
      </c>
      <c r="H22" s="8">
        <v>100</v>
      </c>
      <c r="I22" s="8" t="s">
        <v>98</v>
      </c>
      <c r="J22" s="8"/>
      <c r="K22" s="8"/>
      <c r="L22" s="8"/>
      <c r="M22" s="8" t="s">
        <v>327</v>
      </c>
      <c r="N22" s="46"/>
      <c r="O22" s="7"/>
      <c r="P22" s="46">
        <v>20</v>
      </c>
      <c r="Q22" s="88" t="s">
        <v>2209</v>
      </c>
      <c r="R22" t="s">
        <v>2210</v>
      </c>
    </row>
    <row r="23" spans="1:18" ht="14.45">
      <c r="A23" s="8" t="s">
        <v>357</v>
      </c>
      <c r="B23" s="8"/>
      <c r="C23" s="8"/>
      <c r="D23" s="8" t="s">
        <v>320</v>
      </c>
      <c r="E23" s="8"/>
      <c r="F23" s="8"/>
      <c r="G23" s="8" t="s">
        <v>351</v>
      </c>
      <c r="H23" s="8">
        <v>100</v>
      </c>
      <c r="I23" s="8" t="s">
        <v>98</v>
      </c>
      <c r="J23" s="8"/>
      <c r="K23" s="8"/>
      <c r="L23" s="8"/>
      <c r="M23" s="8" t="s">
        <v>327</v>
      </c>
      <c r="N23" s="46"/>
      <c r="O23" s="7"/>
      <c r="P23" s="46">
        <v>21</v>
      </c>
      <c r="Q23" s="88" t="s">
        <v>2211</v>
      </c>
      <c r="R23" t="s">
        <v>2212</v>
      </c>
    </row>
    <row r="24" spans="1:18" ht="14.45">
      <c r="A24" s="8" t="s">
        <v>360</v>
      </c>
      <c r="B24" s="8"/>
      <c r="C24" s="8"/>
      <c r="D24" s="8" t="s">
        <v>320</v>
      </c>
      <c r="E24" s="8"/>
      <c r="F24" s="8"/>
      <c r="G24" s="8" t="s">
        <v>351</v>
      </c>
      <c r="H24" s="8">
        <v>100</v>
      </c>
      <c r="I24" s="8" t="s">
        <v>98</v>
      </c>
      <c r="J24" s="8"/>
      <c r="K24" s="8"/>
      <c r="L24" s="8"/>
      <c r="M24" s="8" t="s">
        <v>327</v>
      </c>
      <c r="N24" s="46"/>
      <c r="O24" s="7"/>
      <c r="P24" s="46">
        <v>22</v>
      </c>
      <c r="Q24" s="88" t="s">
        <v>2213</v>
      </c>
      <c r="R24" t="s">
        <v>2214</v>
      </c>
    </row>
    <row r="25" spans="1:18" ht="14.45">
      <c r="A25" s="8" t="s">
        <v>363</v>
      </c>
      <c r="B25" s="8"/>
      <c r="C25" s="8"/>
      <c r="D25" s="8" t="s">
        <v>320</v>
      </c>
      <c r="E25" s="8"/>
      <c r="F25" s="8"/>
      <c r="G25" s="8" t="s">
        <v>351</v>
      </c>
      <c r="H25" s="8">
        <v>100</v>
      </c>
      <c r="I25" s="8" t="s">
        <v>98</v>
      </c>
      <c r="J25" s="8"/>
      <c r="K25" s="8"/>
      <c r="L25" s="8"/>
      <c r="M25" s="8" t="s">
        <v>327</v>
      </c>
      <c r="N25" s="46"/>
      <c r="O25" s="7"/>
      <c r="P25" s="46">
        <v>23</v>
      </c>
      <c r="Q25" s="88" t="s">
        <v>2215</v>
      </c>
      <c r="R25" t="s">
        <v>2216</v>
      </c>
    </row>
    <row r="26" spans="1:18" ht="14.45">
      <c r="A26" s="8" t="s">
        <v>366</v>
      </c>
      <c r="B26" s="8"/>
      <c r="C26" s="8"/>
      <c r="D26" s="8" t="s">
        <v>320</v>
      </c>
      <c r="E26" s="8"/>
      <c r="F26" s="8"/>
      <c r="G26" s="8" t="s">
        <v>367</v>
      </c>
      <c r="H26" s="8"/>
      <c r="I26" s="8" t="s">
        <v>98</v>
      </c>
      <c r="J26" s="8"/>
      <c r="K26" s="8"/>
      <c r="L26" s="8"/>
      <c r="M26" s="8" t="s">
        <v>368</v>
      </c>
      <c r="N26" s="46"/>
      <c r="O26" s="7"/>
      <c r="P26" s="46">
        <v>24</v>
      </c>
      <c r="Q26" s="88" t="s">
        <v>2217</v>
      </c>
      <c r="R26" t="s">
        <v>2218</v>
      </c>
    </row>
    <row r="27" spans="1:18" ht="14.45">
      <c r="A27" s="8" t="s">
        <v>371</v>
      </c>
      <c r="B27" s="8"/>
      <c r="C27" s="8"/>
      <c r="D27" s="8" t="s">
        <v>320</v>
      </c>
      <c r="E27" s="8"/>
      <c r="F27" s="8"/>
      <c r="G27" s="8" t="s">
        <v>367</v>
      </c>
      <c r="H27" s="8"/>
      <c r="I27" s="8" t="s">
        <v>98</v>
      </c>
      <c r="J27" s="8"/>
      <c r="K27" s="8"/>
      <c r="L27" s="8"/>
      <c r="M27" s="8" t="s">
        <v>368</v>
      </c>
      <c r="N27" s="46"/>
      <c r="O27" s="7"/>
      <c r="P27" s="46">
        <v>25</v>
      </c>
      <c r="Q27" s="88" t="s">
        <v>2219</v>
      </c>
      <c r="R27" t="s">
        <v>2220</v>
      </c>
    </row>
    <row r="28" spans="1:18" ht="14.45">
      <c r="A28" s="8" t="s">
        <v>374</v>
      </c>
      <c r="B28" s="8"/>
      <c r="C28" s="8"/>
      <c r="D28" s="8" t="s">
        <v>320</v>
      </c>
      <c r="E28" s="8"/>
      <c r="F28" s="8"/>
      <c r="G28" s="8" t="s">
        <v>351</v>
      </c>
      <c r="H28" s="8">
        <v>100</v>
      </c>
      <c r="I28" s="8" t="s">
        <v>98</v>
      </c>
      <c r="J28" s="8"/>
      <c r="K28" s="8"/>
      <c r="L28" s="8"/>
      <c r="M28" s="8" t="s">
        <v>327</v>
      </c>
      <c r="N28" s="46"/>
      <c r="O28" s="7"/>
      <c r="P28" s="46">
        <v>26</v>
      </c>
      <c r="Q28" s="88" t="s">
        <v>2221</v>
      </c>
      <c r="R28" t="s">
        <v>2222</v>
      </c>
    </row>
    <row r="32" spans="1:18" ht="14.45">
      <c r="A32" s="21" t="s">
        <v>2223</v>
      </c>
      <c r="B32" s="21"/>
      <c r="C32" s="21"/>
    </row>
    <row r="33" spans="1:3" ht="14.45">
      <c r="A33" t="s">
        <v>2224</v>
      </c>
    </row>
    <row r="34" spans="1:3" ht="14.45">
      <c r="A34" s="35" t="s">
        <v>2225</v>
      </c>
      <c r="B34" s="35"/>
      <c r="C34" s="35"/>
    </row>
    <row r="36" spans="1:3" ht="14.45">
      <c r="A36" s="21" t="s">
        <v>1698</v>
      </c>
      <c r="B36" s="21"/>
      <c r="C36" s="21"/>
    </row>
    <row r="37" spans="1:3" ht="14.45">
      <c r="A37" s="35" t="s">
        <v>2226</v>
      </c>
      <c r="B37" s="35"/>
      <c r="C37" s="35"/>
    </row>
    <row r="38" spans="1:3" ht="14.45">
      <c r="A38" t="s">
        <v>2227</v>
      </c>
    </row>
    <row r="39" spans="1:3" ht="14.45">
      <c r="A39" t="s">
        <v>2228</v>
      </c>
    </row>
    <row r="40" spans="1:3" ht="14.45">
      <c r="A40" s="35" t="s">
        <v>2229</v>
      </c>
      <c r="B40" s="35"/>
      <c r="C40" s="35"/>
    </row>
    <row r="41" spans="1:3" ht="14.45">
      <c r="A41" s="36" t="s">
        <v>2230</v>
      </c>
      <c r="B41" s="36"/>
      <c r="C41" s="36"/>
    </row>
    <row r="42" spans="1:3" ht="14.45">
      <c r="A42" s="103"/>
      <c r="B42" s="103"/>
      <c r="C42" s="103"/>
    </row>
  </sheetData>
  <conditionalFormatting sqref="Q4">
    <cfRule type="duplicateValues" dxfId="144" priority="10"/>
  </conditionalFormatting>
  <conditionalFormatting sqref="Q8:Q20">
    <cfRule type="duplicateValues" dxfId="143" priority="9"/>
  </conditionalFormatting>
  <conditionalFormatting sqref="Q7">
    <cfRule type="duplicateValues" dxfId="142" priority="8"/>
  </conditionalFormatting>
  <conditionalFormatting sqref="Q3">
    <cfRule type="duplicateValues" dxfId="141" priority="7"/>
  </conditionalFormatting>
  <conditionalFormatting sqref="Q21:Q28">
    <cfRule type="duplicateValues" dxfId="140" priority="6"/>
  </conditionalFormatting>
  <conditionalFormatting sqref="Q3:Q28">
    <cfRule type="duplicateValues" dxfId="139" priority="5"/>
  </conditionalFormatting>
  <conditionalFormatting sqref="Q3:Q28">
    <cfRule type="expression" dxfId="138" priority="1">
      <formula>$L3="Y"</formula>
    </cfRule>
    <cfRule type="expression" dxfId="137" priority="2">
      <formula>$J3="Foreign"</formula>
    </cfRule>
    <cfRule type="expression" dxfId="136" priority="3">
      <formula>$J3="Business"</formula>
    </cfRule>
    <cfRule type="expression" dxfId="135" priority="4">
      <formula>$J3="Primary"</formula>
    </cfRule>
  </conditionalFormatting>
  <hyperlinks>
    <hyperlink ref="A41" location="'Clients to Migrate'!A1" display="See Clients to Migrate sheet" xr:uid="{489E5683-27DD-4CF0-BD5C-9922758D2103}"/>
  </hyperlinks>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053EC-9ACF-4771-9600-A53383B29A0D}">
  <sheetPr codeName="Sheet54">
    <tabColor rgb="FFFFC000"/>
  </sheetPr>
  <dimension ref="A1:R42"/>
  <sheetViews>
    <sheetView tabSelected="1" workbookViewId="0">
      <pane xSplit="1" ySplit="2" topLeftCell="B3" activePane="bottomRight" state="frozen"/>
      <selection pane="bottomRight" activeCell="F9" sqref="F9"/>
      <selection pane="bottomLeft" activeCell="A3" sqref="A3"/>
      <selection pane="topRight" activeCell="B1" sqref="B1"/>
    </sheetView>
  </sheetViews>
  <sheetFormatPr defaultRowHeight="15" customHeight="1"/>
  <cols>
    <col min="1" max="1" width="50.28515625" customWidth="1"/>
    <col min="2" max="2" width="16.5703125" customWidth="1"/>
    <col min="3" max="3" width="14.85546875" customWidth="1"/>
    <col min="4" max="6" width="20.7109375" customWidth="1"/>
    <col min="7" max="9" width="15.7109375" customWidth="1"/>
    <col min="10" max="10" width="45.5703125" customWidth="1"/>
    <col min="11" max="13" width="20.7109375" customWidth="1"/>
    <col min="14" max="14" width="14.7109375" style="44" customWidth="1"/>
    <col min="15" max="15" width="45.140625" customWidth="1"/>
    <col min="16" max="16" width="16.7109375" style="44" bestFit="1" customWidth="1"/>
    <col min="17" max="17" width="39.85546875" bestFit="1" customWidth="1"/>
    <col min="18" max="18" width="38.28515625" bestFit="1" customWidth="1"/>
  </cols>
  <sheetData>
    <row r="1" spans="1:18" ht="60" customHeight="1">
      <c r="A1" s="1" t="s">
        <v>93</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2144</v>
      </c>
      <c r="B3" s="6"/>
      <c r="C3" s="6"/>
      <c r="D3" s="6" t="s">
        <v>320</v>
      </c>
      <c r="E3" s="6"/>
      <c r="F3" s="6"/>
      <c r="G3" s="6" t="s">
        <v>319</v>
      </c>
      <c r="H3" s="6"/>
      <c r="I3" s="6" t="s">
        <v>98</v>
      </c>
      <c r="J3" s="6" t="s">
        <v>321</v>
      </c>
      <c r="K3" s="6"/>
      <c r="L3" s="6"/>
      <c r="M3" s="6">
        <v>-1</v>
      </c>
      <c r="N3" s="46"/>
      <c r="O3" s="7"/>
      <c r="P3" s="46">
        <v>1</v>
      </c>
      <c r="Q3" s="88" t="s">
        <v>2145</v>
      </c>
      <c r="R3" t="s">
        <v>2146</v>
      </c>
    </row>
    <row r="4" spans="1:18" ht="14.45">
      <c r="A4" s="9" t="s">
        <v>2147</v>
      </c>
      <c r="B4" s="9" t="s">
        <v>351</v>
      </c>
      <c r="C4" s="9">
        <v>50</v>
      </c>
      <c r="D4" s="9" t="s">
        <v>45</v>
      </c>
      <c r="E4" s="9" t="s">
        <v>2231</v>
      </c>
      <c r="F4" s="9" t="s">
        <v>2232</v>
      </c>
      <c r="G4" s="9" t="s">
        <v>431</v>
      </c>
      <c r="H4" s="9"/>
      <c r="I4" s="9" t="s">
        <v>98</v>
      </c>
      <c r="J4" s="9" t="s">
        <v>2149</v>
      </c>
      <c r="K4" s="9"/>
      <c r="L4" s="9"/>
      <c r="M4" s="9" t="s">
        <v>327</v>
      </c>
      <c r="N4" s="46"/>
      <c r="O4" s="7"/>
      <c r="P4" s="46">
        <v>2</v>
      </c>
      <c r="Q4" s="76" t="s">
        <v>2150</v>
      </c>
      <c r="R4" s="76" t="s">
        <v>2151</v>
      </c>
    </row>
    <row r="5" spans="1:18" ht="14.45">
      <c r="A5" s="9" t="s">
        <v>1230</v>
      </c>
      <c r="B5" s="9" t="s">
        <v>351</v>
      </c>
      <c r="C5" s="9">
        <v>50</v>
      </c>
      <c r="D5" s="9" t="s">
        <v>45</v>
      </c>
      <c r="E5" s="9" t="s">
        <v>2233</v>
      </c>
      <c r="F5" s="9" t="s">
        <v>2152</v>
      </c>
      <c r="G5" s="9" t="s">
        <v>351</v>
      </c>
      <c r="H5" s="9">
        <v>20</v>
      </c>
      <c r="I5" s="9" t="s">
        <v>98</v>
      </c>
      <c r="J5" s="9" t="s">
        <v>2234</v>
      </c>
      <c r="K5" s="9"/>
      <c r="L5" s="9"/>
      <c r="M5" s="9" t="s">
        <v>327</v>
      </c>
      <c r="N5" s="46"/>
      <c r="O5" s="7"/>
      <c r="P5" s="46">
        <v>3</v>
      </c>
      <c r="Q5" t="str">
        <f ca="1">UPPER(
DEC2HEX(RANDBETWEEN(0,65535),4)&amp;DEC2HEX(RANDBETWEEN(0,65535),4)&amp;"-"&amp;
DEC2HEX(RANDBETWEEN(0,65535),4)&amp;"-"&amp;
DEC2HEX(RANDBETWEEN(0,65535),4)&amp;"-"&amp;
DEC2HEX(RANDBETWEEN(0,65535),4)&amp;"-"&amp;
DEC2HEX(RANDBETWEEN(0,65535),4)&amp;DEC2HEX(RANDBETWEEN(0,65535),4)&amp;DEC2HEX(RANDBETWEEN(0,65535),4)
)</f>
        <v>9F3F4C41-0661-61DC-6104-1ED08B2CE007</v>
      </c>
      <c r="R5" s="76" t="s">
        <v>2154</v>
      </c>
    </row>
    <row r="6" spans="1:18" ht="29.1">
      <c r="A6" s="9" t="s">
        <v>487</v>
      </c>
      <c r="B6" s="9" t="s">
        <v>351</v>
      </c>
      <c r="C6" s="9">
        <v>50</v>
      </c>
      <c r="D6" s="9" t="s">
        <v>12</v>
      </c>
      <c r="E6" s="9" t="s">
        <v>2233</v>
      </c>
      <c r="F6" s="9" t="s">
        <v>2235</v>
      </c>
      <c r="G6" s="9" t="s">
        <v>325</v>
      </c>
      <c r="H6" s="9">
        <v>10</v>
      </c>
      <c r="I6" s="9" t="s">
        <v>98</v>
      </c>
      <c r="J6" s="70" t="s">
        <v>2236</v>
      </c>
      <c r="K6" s="9"/>
      <c r="L6" s="9"/>
      <c r="M6" s="9" t="s">
        <v>327</v>
      </c>
      <c r="N6" s="46"/>
      <c r="O6" s="7"/>
      <c r="P6" s="46">
        <v>4</v>
      </c>
      <c r="Q6" t="str">
        <f ca="1">UPPER(
DEC2HEX(RANDBETWEEN(0,65535),4)&amp;DEC2HEX(RANDBETWEEN(0,65535),4)&amp;"-"&amp;
DEC2HEX(RANDBETWEEN(0,65535),4)&amp;"-"&amp;
DEC2HEX(RANDBETWEEN(0,65535),4)&amp;"-"&amp;
DEC2HEX(RANDBETWEEN(0,65535),4)&amp;"-"&amp;
DEC2HEX(RANDBETWEEN(0,65535),4)&amp;DEC2HEX(RANDBETWEEN(0,65535),4)&amp;DEC2HEX(RANDBETWEEN(0,65535),4)
)</f>
        <v>39E902E7-EC0B-2382-9DEC-E775EB20BD00</v>
      </c>
      <c r="R6" s="76" t="s">
        <v>2156</v>
      </c>
    </row>
    <row r="7" spans="1:18" ht="14.45">
      <c r="A7" s="84" t="s">
        <v>1235</v>
      </c>
      <c r="B7" s="84" t="s">
        <v>319</v>
      </c>
      <c r="C7" s="84"/>
      <c r="D7" s="84" t="s">
        <v>60</v>
      </c>
      <c r="E7" s="84" t="s">
        <v>118</v>
      </c>
      <c r="F7" s="84" t="s">
        <v>1235</v>
      </c>
      <c r="G7" s="84" t="s">
        <v>319</v>
      </c>
      <c r="H7" s="84"/>
      <c r="I7" s="84" t="s">
        <v>74</v>
      </c>
      <c r="J7" s="84"/>
      <c r="K7" s="84"/>
      <c r="L7" s="84"/>
      <c r="M7" s="84">
        <v>-1</v>
      </c>
      <c r="N7" s="46"/>
      <c r="O7" s="7"/>
      <c r="P7" s="46">
        <v>5</v>
      </c>
      <c r="Q7" s="88" t="s">
        <v>2157</v>
      </c>
      <c r="R7" s="79" t="s">
        <v>2158</v>
      </c>
    </row>
    <row r="8" spans="1:18" ht="14.45">
      <c r="A8" s="7" t="s">
        <v>2159</v>
      </c>
      <c r="B8" s="7" t="s">
        <v>351</v>
      </c>
      <c r="C8" s="7">
        <v>10</v>
      </c>
      <c r="D8" s="7"/>
      <c r="E8" s="7"/>
      <c r="F8" s="7"/>
      <c r="G8" s="7"/>
      <c r="H8" s="7"/>
      <c r="I8" s="7" t="s">
        <v>74</v>
      </c>
      <c r="J8" s="7"/>
      <c r="K8" s="7"/>
      <c r="L8" s="7"/>
      <c r="M8" s="7" t="s">
        <v>327</v>
      </c>
      <c r="N8" s="46"/>
      <c r="O8" s="7" t="s">
        <v>2161</v>
      </c>
      <c r="P8" s="46">
        <v>6</v>
      </c>
      <c r="Q8" s="76" t="s">
        <v>2162</v>
      </c>
      <c r="R8" s="76" t="s">
        <v>2163</v>
      </c>
    </row>
    <row r="9" spans="1:18" ht="91.5">
      <c r="A9" s="7" t="s">
        <v>2164</v>
      </c>
      <c r="B9" s="7" t="s">
        <v>351</v>
      </c>
      <c r="C9" s="7">
        <v>60</v>
      </c>
      <c r="D9" s="7" t="s">
        <v>45</v>
      </c>
      <c r="E9" s="7" t="s">
        <v>2231</v>
      </c>
      <c r="F9" s="7" t="s">
        <v>2237</v>
      </c>
      <c r="G9" s="7" t="s">
        <v>351</v>
      </c>
      <c r="H9" s="7">
        <v>60</v>
      </c>
      <c r="I9" s="7" t="s">
        <v>74</v>
      </c>
      <c r="J9" s="50" t="s">
        <v>2166</v>
      </c>
      <c r="K9" s="7"/>
      <c r="L9" s="7"/>
      <c r="M9" s="7" t="s">
        <v>327</v>
      </c>
      <c r="N9" s="46"/>
      <c r="O9" s="7"/>
      <c r="P9" s="46">
        <v>7</v>
      </c>
      <c r="Q9" s="76" t="s">
        <v>2167</v>
      </c>
      <c r="R9" s="76" t="s">
        <v>2168</v>
      </c>
    </row>
    <row r="10" spans="1:18">
      <c r="A10" s="7" t="s">
        <v>2169</v>
      </c>
      <c r="B10" s="7" t="s">
        <v>351</v>
      </c>
      <c r="C10" s="7">
        <v>60</v>
      </c>
      <c r="D10" s="7"/>
      <c r="E10" s="7"/>
      <c r="F10" s="7" t="s">
        <v>2170</v>
      </c>
      <c r="G10" s="7" t="s">
        <v>351</v>
      </c>
      <c r="H10" s="7">
        <v>60</v>
      </c>
      <c r="I10" s="7" t="s">
        <v>74</v>
      </c>
      <c r="J10" s="7" t="s">
        <v>2166</v>
      </c>
      <c r="K10" s="7"/>
      <c r="L10" s="7"/>
      <c r="M10" s="7" t="s">
        <v>327</v>
      </c>
      <c r="N10" s="46"/>
      <c r="O10" s="7"/>
      <c r="P10" s="46">
        <v>8</v>
      </c>
      <c r="Q10" s="76" t="s">
        <v>2171</v>
      </c>
      <c r="R10" s="76" t="s">
        <v>2172</v>
      </c>
    </row>
    <row r="11" spans="1:18">
      <c r="A11" s="7" t="s">
        <v>2173</v>
      </c>
      <c r="B11" s="7" t="s">
        <v>351</v>
      </c>
      <c r="C11" s="7">
        <v>60</v>
      </c>
      <c r="D11" s="7"/>
      <c r="E11" s="7"/>
      <c r="F11" s="7" t="s">
        <v>2174</v>
      </c>
      <c r="G11" s="7" t="s">
        <v>351</v>
      </c>
      <c r="H11" s="7">
        <v>60</v>
      </c>
      <c r="I11" s="7" t="s">
        <v>74</v>
      </c>
      <c r="J11" s="7" t="s">
        <v>2166</v>
      </c>
      <c r="K11" s="7"/>
      <c r="L11" s="7"/>
      <c r="M11" s="7" t="s">
        <v>327</v>
      </c>
      <c r="N11" s="46"/>
      <c r="O11" s="7"/>
      <c r="P11" s="46">
        <v>9</v>
      </c>
      <c r="Q11" s="76" t="s">
        <v>2175</v>
      </c>
      <c r="R11" s="76" t="s">
        <v>2176</v>
      </c>
    </row>
    <row r="12" spans="1:18" ht="14.45">
      <c r="A12" s="7" t="s">
        <v>2177</v>
      </c>
      <c r="B12" s="7" t="s">
        <v>351</v>
      </c>
      <c r="C12" s="7">
        <v>60</v>
      </c>
      <c r="D12" s="7"/>
      <c r="E12" s="7"/>
      <c r="F12" s="7" t="s">
        <v>2178</v>
      </c>
      <c r="G12" s="7" t="s">
        <v>351</v>
      </c>
      <c r="H12" s="7">
        <v>60</v>
      </c>
      <c r="I12" s="7" t="s">
        <v>74</v>
      </c>
      <c r="J12" s="7" t="s">
        <v>2166</v>
      </c>
      <c r="K12" s="7"/>
      <c r="L12" s="7"/>
      <c r="M12" s="7" t="s">
        <v>327</v>
      </c>
      <c r="N12" s="46"/>
      <c r="O12" s="7"/>
      <c r="P12" s="46">
        <v>10</v>
      </c>
      <c r="Q12" s="76" t="s">
        <v>2179</v>
      </c>
      <c r="R12" s="76" t="s">
        <v>2180</v>
      </c>
    </row>
    <row r="13" spans="1:18" ht="14.45">
      <c r="A13" s="7" t="s">
        <v>2181</v>
      </c>
      <c r="B13" s="7" t="s">
        <v>351</v>
      </c>
      <c r="C13" s="7">
        <v>60</v>
      </c>
      <c r="D13" s="7"/>
      <c r="E13" s="7"/>
      <c r="F13" s="7" t="s">
        <v>2182</v>
      </c>
      <c r="G13" s="7" t="s">
        <v>351</v>
      </c>
      <c r="H13" s="7">
        <v>60</v>
      </c>
      <c r="I13" s="7" t="s">
        <v>74</v>
      </c>
      <c r="J13" s="7" t="s">
        <v>2166</v>
      </c>
      <c r="K13" s="7"/>
      <c r="L13" s="7"/>
      <c r="M13" s="7" t="s">
        <v>327</v>
      </c>
      <c r="N13" s="46"/>
      <c r="O13" s="7"/>
      <c r="P13" s="46">
        <v>11</v>
      </c>
      <c r="Q13" s="76" t="s">
        <v>2183</v>
      </c>
      <c r="R13" s="76" t="s">
        <v>2184</v>
      </c>
    </row>
    <row r="14" spans="1:18" ht="14.45">
      <c r="A14" s="7" t="s">
        <v>496</v>
      </c>
      <c r="B14" s="7" t="s">
        <v>351</v>
      </c>
      <c r="C14" s="7">
        <v>50</v>
      </c>
      <c r="D14" s="7" t="s">
        <v>45</v>
      </c>
      <c r="E14" s="7" t="s">
        <v>2231</v>
      </c>
      <c r="F14" s="7" t="s">
        <v>497</v>
      </c>
      <c r="G14" s="7" t="s">
        <v>351</v>
      </c>
      <c r="H14" s="7">
        <v>50</v>
      </c>
      <c r="I14" s="7" t="s">
        <v>74</v>
      </c>
      <c r="J14" s="7"/>
      <c r="K14" s="7"/>
      <c r="L14" s="7"/>
      <c r="M14" s="7" t="s">
        <v>327</v>
      </c>
      <c r="N14" s="46"/>
      <c r="O14" s="7"/>
      <c r="P14" s="46">
        <v>12</v>
      </c>
      <c r="Q14" s="76" t="s">
        <v>2185</v>
      </c>
      <c r="R14" s="76" t="s">
        <v>2186</v>
      </c>
    </row>
    <row r="15" spans="1:18" ht="14.45">
      <c r="A15" s="20" t="s">
        <v>500</v>
      </c>
      <c r="B15" s="127" t="s">
        <v>351</v>
      </c>
      <c r="C15" s="20">
        <v>50</v>
      </c>
      <c r="D15" s="20" t="s">
        <v>66</v>
      </c>
      <c r="E15" s="20" t="s">
        <v>154</v>
      </c>
      <c r="F15" s="20" t="s">
        <v>500</v>
      </c>
      <c r="G15" s="20" t="s">
        <v>351</v>
      </c>
      <c r="H15" s="20">
        <v>2</v>
      </c>
      <c r="I15" s="20" t="s">
        <v>74</v>
      </c>
      <c r="J15" s="20"/>
      <c r="K15" s="20"/>
      <c r="L15" s="20"/>
      <c r="M15" s="20" t="s">
        <v>327</v>
      </c>
      <c r="N15" s="46"/>
      <c r="O15" s="7" t="s">
        <v>2188</v>
      </c>
      <c r="P15" s="46">
        <v>13</v>
      </c>
      <c r="Q15" s="76" t="s">
        <v>2189</v>
      </c>
      <c r="R15" s="76" t="s">
        <v>2190</v>
      </c>
    </row>
    <row r="16" spans="1:18" ht="14.45">
      <c r="A16" s="7" t="s">
        <v>2191</v>
      </c>
      <c r="B16" s="7" t="s">
        <v>351</v>
      </c>
      <c r="C16" s="7">
        <v>50</v>
      </c>
      <c r="D16" s="7" t="s">
        <v>45</v>
      </c>
      <c r="E16" s="7" t="s">
        <v>2231</v>
      </c>
      <c r="F16" s="7" t="s">
        <v>2192</v>
      </c>
      <c r="G16" s="7" t="s">
        <v>351</v>
      </c>
      <c r="H16" s="7">
        <v>50</v>
      </c>
      <c r="I16" s="7" t="s">
        <v>74</v>
      </c>
      <c r="J16" s="7"/>
      <c r="K16" s="7"/>
      <c r="L16" s="7"/>
      <c r="M16" s="7" t="s">
        <v>327</v>
      </c>
      <c r="N16" s="46"/>
      <c r="O16" s="7"/>
      <c r="P16" s="46">
        <v>14</v>
      </c>
      <c r="Q16" s="76" t="s">
        <v>2193</v>
      </c>
      <c r="R16" s="76" t="s">
        <v>2194</v>
      </c>
    </row>
    <row r="17" spans="1:18" ht="14.45">
      <c r="A17" s="7" t="s">
        <v>2195</v>
      </c>
      <c r="B17" s="7" t="s">
        <v>351</v>
      </c>
      <c r="C17" s="7">
        <v>12</v>
      </c>
      <c r="D17" s="7" t="s">
        <v>45</v>
      </c>
      <c r="E17" s="7" t="s">
        <v>2231</v>
      </c>
      <c r="F17" s="7" t="s">
        <v>2238</v>
      </c>
      <c r="G17" s="7" t="s">
        <v>351</v>
      </c>
      <c r="H17" s="7">
        <v>12</v>
      </c>
      <c r="I17" s="7" t="s">
        <v>74</v>
      </c>
      <c r="J17" s="7"/>
      <c r="K17" s="7"/>
      <c r="L17" s="7"/>
      <c r="M17" s="7" t="s">
        <v>327</v>
      </c>
      <c r="N17" s="46"/>
      <c r="O17" s="7"/>
      <c r="P17" s="46">
        <v>15</v>
      </c>
      <c r="Q17" s="76" t="s">
        <v>2196</v>
      </c>
      <c r="R17" s="76" t="s">
        <v>2197</v>
      </c>
    </row>
    <row r="18" spans="1:18" ht="91.5">
      <c r="A18" s="7" t="s">
        <v>2198</v>
      </c>
      <c r="B18" s="7" t="s">
        <v>351</v>
      </c>
      <c r="C18" s="7">
        <v>500</v>
      </c>
      <c r="D18" s="7" t="s">
        <v>45</v>
      </c>
      <c r="E18" s="7" t="s">
        <v>2231</v>
      </c>
      <c r="F18" s="7" t="s">
        <v>2237</v>
      </c>
      <c r="G18" s="7" t="s">
        <v>351</v>
      </c>
      <c r="H18" s="7">
        <v>500</v>
      </c>
      <c r="I18" s="7" t="s">
        <v>74</v>
      </c>
      <c r="J18" s="50" t="s">
        <v>2239</v>
      </c>
      <c r="K18" s="7"/>
      <c r="L18" s="7"/>
      <c r="M18" s="7" t="s">
        <v>327</v>
      </c>
      <c r="N18" s="46"/>
      <c r="O18" s="7"/>
      <c r="P18" s="46">
        <v>16</v>
      </c>
      <c r="Q18" s="76" t="s">
        <v>2200</v>
      </c>
      <c r="R18" s="76" t="s">
        <v>2201</v>
      </c>
    </row>
    <row r="19" spans="1:18" ht="14.45">
      <c r="A19" s="7" t="s">
        <v>345</v>
      </c>
      <c r="B19" s="7" t="s">
        <v>346</v>
      </c>
      <c r="C19" s="7"/>
      <c r="D19" s="7"/>
      <c r="E19" s="7"/>
      <c r="F19" s="7"/>
      <c r="G19" s="7"/>
      <c r="H19" s="7"/>
      <c r="I19" s="7" t="s">
        <v>98</v>
      </c>
      <c r="J19" s="7"/>
      <c r="K19" s="7"/>
      <c r="L19" s="7"/>
      <c r="M19" s="7" t="b">
        <v>0</v>
      </c>
      <c r="N19" s="46"/>
      <c r="O19" s="7" t="s">
        <v>2240</v>
      </c>
      <c r="P19" s="46">
        <v>17</v>
      </c>
      <c r="Q19" s="76" t="s">
        <v>2202</v>
      </c>
      <c r="R19" s="76" t="s">
        <v>2203</v>
      </c>
    </row>
    <row r="20" spans="1:18" ht="14.45">
      <c r="A20" s="7" t="s">
        <v>1590</v>
      </c>
      <c r="B20" s="7" t="s">
        <v>367</v>
      </c>
      <c r="C20" s="7"/>
      <c r="D20" s="7" t="s">
        <v>45</v>
      </c>
      <c r="E20" s="7" t="s">
        <v>2231</v>
      </c>
      <c r="F20" s="7" t="s">
        <v>2241</v>
      </c>
      <c r="G20" s="7" t="s">
        <v>367</v>
      </c>
      <c r="H20" s="7"/>
      <c r="I20" s="7" t="s">
        <v>98</v>
      </c>
      <c r="J20" s="7"/>
      <c r="K20" s="7"/>
      <c r="L20" s="7"/>
      <c r="M20" s="7" t="s">
        <v>368</v>
      </c>
      <c r="N20" s="46"/>
      <c r="O20" s="7"/>
      <c r="P20" s="46">
        <v>18</v>
      </c>
      <c r="Q20" s="76" t="s">
        <v>2205</v>
      </c>
      <c r="R20" s="76" t="s">
        <v>2206</v>
      </c>
    </row>
    <row r="21" spans="1:18" ht="14.45">
      <c r="A21" s="8" t="s">
        <v>350</v>
      </c>
      <c r="B21" s="8"/>
      <c r="C21" s="8"/>
      <c r="D21" s="8" t="s">
        <v>320</v>
      </c>
      <c r="E21" s="8"/>
      <c r="F21" s="8"/>
      <c r="G21" s="8" t="s">
        <v>351</v>
      </c>
      <c r="H21" s="8">
        <v>100</v>
      </c>
      <c r="I21" s="8" t="s">
        <v>98</v>
      </c>
      <c r="J21" s="8"/>
      <c r="K21" s="8"/>
      <c r="L21" s="8"/>
      <c r="M21" s="8" t="s">
        <v>327</v>
      </c>
      <c r="N21" s="46"/>
      <c r="O21" s="7"/>
      <c r="P21" s="46">
        <v>19</v>
      </c>
      <c r="Q21" s="88" t="s">
        <v>2207</v>
      </c>
      <c r="R21" t="s">
        <v>2208</v>
      </c>
    </row>
    <row r="22" spans="1:18" ht="14.45">
      <c r="A22" s="8" t="s">
        <v>354</v>
      </c>
      <c r="B22" s="8"/>
      <c r="C22" s="8"/>
      <c r="D22" s="8" t="s">
        <v>320</v>
      </c>
      <c r="E22" s="8"/>
      <c r="F22" s="8"/>
      <c r="G22" s="8" t="s">
        <v>351</v>
      </c>
      <c r="H22" s="8">
        <v>100</v>
      </c>
      <c r="I22" s="8" t="s">
        <v>98</v>
      </c>
      <c r="J22" s="8"/>
      <c r="K22" s="8"/>
      <c r="L22" s="8"/>
      <c r="M22" s="8" t="s">
        <v>327</v>
      </c>
      <c r="N22" s="46"/>
      <c r="O22" s="7"/>
      <c r="P22" s="46">
        <v>20</v>
      </c>
      <c r="Q22" s="88" t="s">
        <v>2209</v>
      </c>
      <c r="R22" t="s">
        <v>2210</v>
      </c>
    </row>
    <row r="23" spans="1:18" ht="14.45">
      <c r="A23" s="8" t="s">
        <v>357</v>
      </c>
      <c r="B23" s="8"/>
      <c r="C23" s="8"/>
      <c r="D23" s="8" t="s">
        <v>320</v>
      </c>
      <c r="E23" s="8"/>
      <c r="F23" s="8"/>
      <c r="G23" s="8" t="s">
        <v>351</v>
      </c>
      <c r="H23" s="8">
        <v>100</v>
      </c>
      <c r="I23" s="8" t="s">
        <v>98</v>
      </c>
      <c r="J23" s="8"/>
      <c r="K23" s="8"/>
      <c r="L23" s="8"/>
      <c r="M23" s="8" t="s">
        <v>327</v>
      </c>
      <c r="N23" s="46"/>
      <c r="O23" s="7"/>
      <c r="P23" s="46">
        <v>21</v>
      </c>
      <c r="Q23" s="88" t="s">
        <v>2211</v>
      </c>
      <c r="R23" t="s">
        <v>2212</v>
      </c>
    </row>
    <row r="24" spans="1:18" ht="14.45">
      <c r="A24" s="8" t="s">
        <v>360</v>
      </c>
      <c r="B24" s="8"/>
      <c r="C24" s="8"/>
      <c r="D24" s="8" t="s">
        <v>320</v>
      </c>
      <c r="E24" s="8"/>
      <c r="F24" s="8"/>
      <c r="G24" s="8" t="s">
        <v>351</v>
      </c>
      <c r="H24" s="8">
        <v>100</v>
      </c>
      <c r="I24" s="8" t="s">
        <v>98</v>
      </c>
      <c r="J24" s="8"/>
      <c r="K24" s="8"/>
      <c r="L24" s="8"/>
      <c r="M24" s="8" t="s">
        <v>327</v>
      </c>
      <c r="N24" s="46"/>
      <c r="O24" s="7"/>
      <c r="P24" s="46">
        <v>22</v>
      </c>
      <c r="Q24" s="88" t="s">
        <v>2213</v>
      </c>
      <c r="R24" t="s">
        <v>2214</v>
      </c>
    </row>
    <row r="25" spans="1:18" ht="14.45">
      <c r="A25" s="8" t="s">
        <v>363</v>
      </c>
      <c r="B25" s="8"/>
      <c r="C25" s="8"/>
      <c r="D25" s="8" t="s">
        <v>320</v>
      </c>
      <c r="E25" s="8"/>
      <c r="F25" s="8"/>
      <c r="G25" s="8" t="s">
        <v>351</v>
      </c>
      <c r="H25" s="8">
        <v>100</v>
      </c>
      <c r="I25" s="8" t="s">
        <v>98</v>
      </c>
      <c r="J25" s="8"/>
      <c r="K25" s="8"/>
      <c r="L25" s="8"/>
      <c r="M25" s="8" t="s">
        <v>327</v>
      </c>
      <c r="N25" s="46"/>
      <c r="O25" s="7"/>
      <c r="P25" s="46">
        <v>23</v>
      </c>
      <c r="Q25" s="88" t="s">
        <v>2215</v>
      </c>
      <c r="R25" t="s">
        <v>2216</v>
      </c>
    </row>
    <row r="26" spans="1:18" ht="14.45">
      <c r="A26" s="8" t="s">
        <v>366</v>
      </c>
      <c r="B26" s="8"/>
      <c r="C26" s="8"/>
      <c r="D26" s="8" t="s">
        <v>320</v>
      </c>
      <c r="E26" s="8"/>
      <c r="F26" s="8"/>
      <c r="G26" s="8" t="s">
        <v>367</v>
      </c>
      <c r="H26" s="8"/>
      <c r="I26" s="8" t="s">
        <v>98</v>
      </c>
      <c r="J26" s="8"/>
      <c r="K26" s="8"/>
      <c r="L26" s="8"/>
      <c r="M26" s="8" t="s">
        <v>368</v>
      </c>
      <c r="N26" s="46"/>
      <c r="O26" s="7"/>
      <c r="P26" s="46">
        <v>24</v>
      </c>
      <c r="Q26" s="88" t="s">
        <v>2217</v>
      </c>
      <c r="R26" t="s">
        <v>2218</v>
      </c>
    </row>
    <row r="27" spans="1:18" ht="14.45">
      <c r="A27" s="8" t="s">
        <v>371</v>
      </c>
      <c r="B27" s="8"/>
      <c r="C27" s="8"/>
      <c r="D27" s="8" t="s">
        <v>320</v>
      </c>
      <c r="E27" s="8"/>
      <c r="F27" s="8"/>
      <c r="G27" s="8" t="s">
        <v>367</v>
      </c>
      <c r="H27" s="8"/>
      <c r="I27" s="8" t="s">
        <v>98</v>
      </c>
      <c r="J27" s="8"/>
      <c r="K27" s="8"/>
      <c r="L27" s="8"/>
      <c r="M27" s="8" t="s">
        <v>368</v>
      </c>
      <c r="N27" s="46"/>
      <c r="O27" s="7"/>
      <c r="P27" s="46">
        <v>25</v>
      </c>
      <c r="Q27" s="88" t="s">
        <v>2219</v>
      </c>
      <c r="R27" t="s">
        <v>2220</v>
      </c>
    </row>
    <row r="28" spans="1:18" ht="14.45">
      <c r="A28" s="8" t="s">
        <v>374</v>
      </c>
      <c r="B28" s="8"/>
      <c r="C28" s="8"/>
      <c r="D28" s="8" t="s">
        <v>320</v>
      </c>
      <c r="E28" s="8"/>
      <c r="F28" s="8"/>
      <c r="G28" s="8" t="s">
        <v>351</v>
      </c>
      <c r="H28" s="8">
        <v>100</v>
      </c>
      <c r="I28" s="8" t="s">
        <v>98</v>
      </c>
      <c r="J28" s="8"/>
      <c r="K28" s="8"/>
      <c r="L28" s="8"/>
      <c r="M28" s="8" t="s">
        <v>327</v>
      </c>
      <c r="N28" s="46"/>
      <c r="O28" s="7"/>
      <c r="P28" s="46">
        <v>26</v>
      </c>
      <c r="Q28" s="88" t="s">
        <v>2221</v>
      </c>
      <c r="R28" t="s">
        <v>2222</v>
      </c>
    </row>
    <row r="32" spans="1:18" ht="14.45">
      <c r="A32" s="21" t="s">
        <v>2223</v>
      </c>
      <c r="B32" s="21"/>
      <c r="C32" s="21"/>
    </row>
    <row r="33" spans="1:3" ht="14.45">
      <c r="A33" t="s">
        <v>2242</v>
      </c>
    </row>
    <row r="34" spans="1:3" ht="14.45">
      <c r="A34" s="35" t="s">
        <v>2225</v>
      </c>
      <c r="B34" s="35"/>
      <c r="C34" s="35"/>
    </row>
    <row r="36" spans="1:3" ht="14.45">
      <c r="A36" s="21" t="s">
        <v>1698</v>
      </c>
      <c r="B36" s="21"/>
      <c r="C36" s="21"/>
    </row>
    <row r="37" spans="1:3" ht="14.45">
      <c r="A37" s="35" t="s">
        <v>2226</v>
      </c>
      <c r="B37" s="35"/>
      <c r="C37" s="35"/>
    </row>
    <row r="38" spans="1:3" ht="14.45">
      <c r="A38" t="s">
        <v>2227</v>
      </c>
    </row>
    <row r="39" spans="1:3" ht="14.45">
      <c r="A39" t="s">
        <v>2228</v>
      </c>
    </row>
    <row r="40" spans="1:3" ht="14.45">
      <c r="A40" s="35" t="s">
        <v>2229</v>
      </c>
      <c r="B40" s="35"/>
      <c r="C40" s="35"/>
    </row>
    <row r="41" spans="1:3" ht="14.45">
      <c r="A41" s="36" t="s">
        <v>2230</v>
      </c>
      <c r="B41" s="36"/>
      <c r="C41" s="36"/>
    </row>
    <row r="42" spans="1:3" ht="14.45">
      <c r="A42" s="161"/>
      <c r="B42" s="161"/>
      <c r="C42" s="161"/>
    </row>
  </sheetData>
  <conditionalFormatting sqref="Q4">
    <cfRule type="duplicateValues" dxfId="134" priority="10"/>
  </conditionalFormatting>
  <conditionalFormatting sqref="Q8:Q20">
    <cfRule type="duplicateValues" dxfId="133" priority="9"/>
  </conditionalFormatting>
  <conditionalFormatting sqref="Q7">
    <cfRule type="duplicateValues" dxfId="132" priority="8"/>
  </conditionalFormatting>
  <conditionalFormatting sqref="Q3">
    <cfRule type="duplicateValues" dxfId="131" priority="7"/>
  </conditionalFormatting>
  <conditionalFormatting sqref="Q21:Q28">
    <cfRule type="duplicateValues" dxfId="130" priority="6"/>
  </conditionalFormatting>
  <conditionalFormatting sqref="Q3:Q28">
    <cfRule type="duplicateValues" dxfId="129" priority="5"/>
  </conditionalFormatting>
  <conditionalFormatting sqref="Q3:Q28">
    <cfRule type="expression" dxfId="128" priority="1">
      <formula>$L3="Y"</formula>
    </cfRule>
    <cfRule type="expression" dxfId="127" priority="2">
      <formula>$J3="Foreign"</formula>
    </cfRule>
    <cfRule type="expression" dxfId="126" priority="3">
      <formula>$J3="Business"</formula>
    </cfRule>
    <cfRule type="expression" dxfId="125" priority="4">
      <formula>$J3="Primary"</formula>
    </cfRule>
  </conditionalFormatting>
  <hyperlinks>
    <hyperlink ref="A41" location="'Clients to Migrate'!A1" display="See Clients to Migrate sheet" xr:uid="{9378F82C-BB6E-41C8-B5EB-457446736C27}"/>
  </hyperlinks>
  <pageMargins left="0.7" right="0.7" top="0.75" bottom="0.75" header="0.3" footer="0.3"/>
  <legacy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6CA10-D06F-44F1-B3A9-021022D9E6A0}">
  <sheetPr codeName="Sheet53" filterMode="1">
    <tabColor rgb="FFFFC000"/>
  </sheetPr>
  <dimension ref="A1:AA62"/>
  <sheetViews>
    <sheetView zoomScale="80" zoomScaleNormal="80" workbookViewId="0">
      <pane xSplit="4" ySplit="2" topLeftCell="E4" activePane="bottomRight" state="frozen"/>
      <selection pane="bottomRight" activeCell="A17" sqref="A17"/>
      <selection pane="bottomLeft" activeCell="A3" sqref="A3"/>
      <selection pane="topRight" activeCell="B1" sqref="B1"/>
    </sheetView>
  </sheetViews>
  <sheetFormatPr defaultRowHeight="15" customHeight="1"/>
  <cols>
    <col min="1" max="1" width="36.140625" customWidth="1"/>
    <col min="2" max="2" width="17.42578125" customWidth="1"/>
    <col min="3" max="3" width="16.28515625" customWidth="1"/>
    <col min="4" max="4" width="20" customWidth="1"/>
    <col min="5" max="5" width="20.7109375" customWidth="1"/>
    <col min="6" max="6" width="24.85546875" customWidth="1"/>
    <col min="7" max="7" width="17.42578125" customWidth="1"/>
    <col min="8" max="8" width="16.42578125" customWidth="1"/>
    <col min="9" max="9" width="17" bestFit="1" customWidth="1"/>
    <col min="10" max="10" width="67.7109375" customWidth="1"/>
    <col min="11" max="13" width="20.7109375" customWidth="1"/>
    <col min="14" max="14" width="14.7109375" style="44" customWidth="1"/>
    <col min="15" max="15" width="52.85546875" customWidth="1"/>
    <col min="16" max="16" width="17.28515625" style="44" bestFit="1" customWidth="1"/>
    <col min="17" max="17" width="39.5703125" bestFit="1" customWidth="1"/>
    <col min="18" max="18" width="40.42578125" bestFit="1" customWidth="1"/>
    <col min="19" max="19" width="66.85546875" customWidth="1"/>
  </cols>
  <sheetData>
    <row r="1" spans="1:27" ht="60" customHeight="1">
      <c r="A1" s="1" t="s">
        <v>118</v>
      </c>
      <c r="B1" s="1"/>
      <c r="C1" s="1"/>
      <c r="F1" s="2" t="s">
        <v>297</v>
      </c>
      <c r="K1" s="3" t="s">
        <v>298</v>
      </c>
      <c r="L1" s="4" t="s">
        <v>299</v>
      </c>
      <c r="M1" s="19" t="s">
        <v>300</v>
      </c>
      <c r="N1" s="45" t="s">
        <v>301</v>
      </c>
      <c r="O1" s="44"/>
    </row>
    <row r="2" spans="1:27"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c r="S2" s="78" t="s">
        <v>2243</v>
      </c>
    </row>
    <row r="3" spans="1:27" ht="14.45" hidden="1">
      <c r="A3" s="6" t="s">
        <v>1235</v>
      </c>
      <c r="B3" s="6"/>
      <c r="C3" s="6"/>
      <c r="D3" s="6" t="s">
        <v>320</v>
      </c>
      <c r="E3" s="6"/>
      <c r="F3" s="6"/>
      <c r="G3" s="6" t="s">
        <v>319</v>
      </c>
      <c r="H3" s="6"/>
      <c r="I3" s="6" t="s">
        <v>98</v>
      </c>
      <c r="J3" s="6" t="s">
        <v>321</v>
      </c>
      <c r="K3" s="6"/>
      <c r="L3" s="6"/>
      <c r="M3" s="6">
        <v>-1</v>
      </c>
      <c r="N3" s="46"/>
      <c r="O3" s="7"/>
      <c r="P3" s="46">
        <v>1</v>
      </c>
      <c r="Q3" s="88" t="s">
        <v>2244</v>
      </c>
      <c r="R3" t="s">
        <v>2245</v>
      </c>
      <c r="U3" s="123"/>
      <c r="V3" s="123"/>
      <c r="W3" s="123"/>
      <c r="X3" s="123"/>
      <c r="Y3" s="123"/>
      <c r="Z3" s="123"/>
      <c r="AA3" s="124"/>
    </row>
    <row r="4" spans="1:27" ht="14.45">
      <c r="A4" s="9" t="s">
        <v>1230</v>
      </c>
      <c r="B4" s="9"/>
      <c r="C4" s="9"/>
      <c r="D4" s="9" t="s">
        <v>45</v>
      </c>
      <c r="E4" s="9" t="s">
        <v>2233</v>
      </c>
      <c r="F4" s="9" t="s">
        <v>1621</v>
      </c>
      <c r="G4" s="9" t="s">
        <v>2246</v>
      </c>
      <c r="H4" s="9">
        <v>20</v>
      </c>
      <c r="I4" s="9" t="s">
        <v>98</v>
      </c>
      <c r="J4" s="9" t="s">
        <v>2247</v>
      </c>
      <c r="K4" s="9"/>
      <c r="L4" s="9"/>
      <c r="M4" s="9" t="s">
        <v>327</v>
      </c>
      <c r="N4" s="46"/>
      <c r="O4" s="37"/>
      <c r="P4" s="46">
        <v>2</v>
      </c>
      <c r="Q4" s="76" t="s">
        <v>2248</v>
      </c>
      <c r="R4" s="76" t="s">
        <v>2249</v>
      </c>
      <c r="U4" s="123"/>
      <c r="V4" s="123"/>
      <c r="W4" s="123"/>
      <c r="X4" s="123"/>
      <c r="Y4" s="123"/>
      <c r="Z4" s="123"/>
      <c r="AA4" s="123"/>
    </row>
    <row r="5" spans="1:27" ht="14.45">
      <c r="A5" s="9" t="s">
        <v>487</v>
      </c>
      <c r="B5" s="9"/>
      <c r="C5" s="9"/>
      <c r="D5" s="9" t="s">
        <v>45</v>
      </c>
      <c r="E5" s="9" t="s">
        <v>2233</v>
      </c>
      <c r="F5" s="9" t="s">
        <v>2235</v>
      </c>
      <c r="G5" s="9" t="s">
        <v>325</v>
      </c>
      <c r="H5" s="9">
        <v>10</v>
      </c>
      <c r="I5" s="9" t="s">
        <v>98</v>
      </c>
      <c r="J5" s="70" t="s">
        <v>2236</v>
      </c>
      <c r="K5" s="9"/>
      <c r="L5" s="9"/>
      <c r="M5" s="9" t="s">
        <v>327</v>
      </c>
      <c r="N5" s="46"/>
      <c r="O5" s="119"/>
      <c r="P5" s="46">
        <v>3</v>
      </c>
      <c r="Q5" s="76" t="s">
        <v>2250</v>
      </c>
      <c r="R5" s="76" t="s">
        <v>2251</v>
      </c>
      <c r="U5" s="123"/>
      <c r="V5" s="123"/>
      <c r="W5" s="123"/>
      <c r="X5" s="123"/>
      <c r="Y5" s="123"/>
      <c r="Z5" s="123"/>
      <c r="AA5" s="123"/>
    </row>
    <row r="6" spans="1:27" ht="72.599999999999994">
      <c r="A6" s="7" t="s">
        <v>2252</v>
      </c>
      <c r="B6" s="7"/>
      <c r="C6" s="7"/>
      <c r="D6" s="7" t="s">
        <v>45</v>
      </c>
      <c r="E6" s="7" t="s">
        <v>2233</v>
      </c>
      <c r="F6" s="7" t="s">
        <v>2232</v>
      </c>
      <c r="G6" s="7"/>
      <c r="H6" s="7"/>
      <c r="I6" s="7" t="s">
        <v>98</v>
      </c>
      <c r="J6" s="7" t="s">
        <v>2253</v>
      </c>
      <c r="K6" s="7"/>
      <c r="L6" s="7" t="s">
        <v>942</v>
      </c>
      <c r="M6" s="7">
        <v>-1</v>
      </c>
      <c r="N6" s="46"/>
      <c r="O6" s="50" t="s">
        <v>2254</v>
      </c>
      <c r="P6" s="46">
        <v>4</v>
      </c>
      <c r="Q6" s="76" t="s">
        <v>2255</v>
      </c>
      <c r="R6" s="76" t="s">
        <v>2256</v>
      </c>
      <c r="U6" s="123"/>
      <c r="V6" s="123"/>
      <c r="W6" s="123"/>
      <c r="X6" s="123"/>
      <c r="Y6" s="123"/>
      <c r="Z6" s="123"/>
      <c r="AA6" s="123"/>
    </row>
    <row r="7" spans="1:27" ht="14.45">
      <c r="A7" s="7" t="s">
        <v>2257</v>
      </c>
      <c r="B7" s="7"/>
      <c r="C7" s="7"/>
      <c r="D7" s="7" t="s">
        <v>45</v>
      </c>
      <c r="E7" s="7" t="s">
        <v>2233</v>
      </c>
      <c r="F7" s="7" t="s">
        <v>1621</v>
      </c>
      <c r="G7" s="7" t="s">
        <v>351</v>
      </c>
      <c r="H7" s="7">
        <v>20</v>
      </c>
      <c r="I7" s="7" t="s">
        <v>74</v>
      </c>
      <c r="J7" s="7"/>
      <c r="K7" s="7"/>
      <c r="L7" s="7"/>
      <c r="M7" s="7">
        <v>-1</v>
      </c>
      <c r="N7" s="46"/>
      <c r="O7" s="7" t="s">
        <v>2258</v>
      </c>
      <c r="P7" s="46">
        <v>5</v>
      </c>
      <c r="Q7" s="76" t="s">
        <v>2259</v>
      </c>
      <c r="R7" s="76" t="s">
        <v>2260</v>
      </c>
      <c r="U7" s="123"/>
      <c r="V7" s="123"/>
      <c r="W7" s="123"/>
      <c r="X7" s="123"/>
      <c r="Y7" s="123"/>
      <c r="Z7" s="123"/>
      <c r="AA7" s="123"/>
    </row>
    <row r="8" spans="1:27" ht="14.45">
      <c r="A8" s="7" t="s">
        <v>2261</v>
      </c>
      <c r="B8" s="7"/>
      <c r="C8" s="7"/>
      <c r="D8" s="83" t="s">
        <v>45</v>
      </c>
      <c r="E8" s="83" t="s">
        <v>2233</v>
      </c>
      <c r="F8" s="83" t="s">
        <v>1</v>
      </c>
      <c r="G8" s="83" t="s">
        <v>351</v>
      </c>
      <c r="H8" s="83">
        <v>256</v>
      </c>
      <c r="I8" s="7" t="s">
        <v>98</v>
      </c>
      <c r="J8" s="121" t="s">
        <v>2262</v>
      </c>
      <c r="K8" s="7"/>
      <c r="L8" s="7"/>
      <c r="M8" s="7" t="s">
        <v>327</v>
      </c>
      <c r="N8" s="46"/>
      <c r="O8" s="37" t="s">
        <v>2263</v>
      </c>
      <c r="P8" s="46">
        <v>6</v>
      </c>
      <c r="Q8" s="76" t="s">
        <v>2264</v>
      </c>
      <c r="R8" s="76" t="s">
        <v>2265</v>
      </c>
      <c r="U8" s="123"/>
      <c r="V8" s="123"/>
      <c r="W8" s="123"/>
      <c r="X8" s="123"/>
      <c r="Y8" s="123"/>
      <c r="Z8" s="123"/>
      <c r="AA8" s="123"/>
    </row>
    <row r="9" spans="1:27" ht="29.1" hidden="1">
      <c r="A9" s="37" t="s">
        <v>2266</v>
      </c>
      <c r="B9" s="37"/>
      <c r="C9" s="37"/>
      <c r="D9" s="7" t="s">
        <v>12</v>
      </c>
      <c r="E9" s="7" t="s">
        <v>138</v>
      </c>
      <c r="F9" s="7" t="s">
        <v>2267</v>
      </c>
      <c r="G9" s="7" t="s">
        <v>351</v>
      </c>
      <c r="H9" s="7">
        <v>255</v>
      </c>
      <c r="I9" s="7" t="s">
        <v>74</v>
      </c>
      <c r="J9" s="7"/>
      <c r="K9" s="7"/>
      <c r="L9" s="7"/>
      <c r="M9" s="7" t="s">
        <v>327</v>
      </c>
      <c r="N9" s="46"/>
      <c r="O9" s="50" t="s">
        <v>2268</v>
      </c>
      <c r="P9" s="46">
        <v>7</v>
      </c>
      <c r="Q9" s="76" t="s">
        <v>2269</v>
      </c>
      <c r="R9" s="76" t="s">
        <v>2270</v>
      </c>
      <c r="U9" s="123"/>
      <c r="V9" s="123"/>
      <c r="W9" s="123"/>
      <c r="X9" s="123"/>
      <c r="Y9" s="123"/>
      <c r="Z9" s="123"/>
      <c r="AA9" s="123"/>
    </row>
    <row r="10" spans="1:27" ht="130.5">
      <c r="A10" s="83" t="s">
        <v>2271</v>
      </c>
      <c r="B10" s="83"/>
      <c r="C10" s="83"/>
      <c r="D10" s="83" t="s">
        <v>45</v>
      </c>
      <c r="E10" s="7" t="s">
        <v>2231</v>
      </c>
      <c r="F10" s="7" t="s">
        <v>2272</v>
      </c>
      <c r="G10" s="7"/>
      <c r="H10" s="7"/>
      <c r="I10" s="7" t="s">
        <v>74</v>
      </c>
      <c r="J10" s="50" t="s">
        <v>2273</v>
      </c>
      <c r="K10" s="7"/>
      <c r="L10" s="7"/>
      <c r="M10" s="7" t="s">
        <v>327</v>
      </c>
      <c r="N10" s="46"/>
      <c r="O10" s="7" t="s">
        <v>2274</v>
      </c>
      <c r="P10" s="46">
        <v>8</v>
      </c>
      <c r="Q10" s="76" t="s">
        <v>2275</v>
      </c>
      <c r="R10" s="76" t="s">
        <v>2276</v>
      </c>
      <c r="U10" s="123"/>
      <c r="V10" s="123"/>
      <c r="W10" s="123"/>
      <c r="X10" s="123"/>
      <c r="Y10" s="123"/>
      <c r="Z10" s="123"/>
      <c r="AA10" s="123"/>
    </row>
    <row r="11" spans="1:27" ht="14.45">
      <c r="A11" s="7" t="s">
        <v>2277</v>
      </c>
      <c r="B11" s="7"/>
      <c r="C11" s="7"/>
      <c r="D11" s="83" t="s">
        <v>45</v>
      </c>
      <c r="E11" s="83" t="s">
        <v>2233</v>
      </c>
      <c r="F11" s="7" t="s">
        <v>2278</v>
      </c>
      <c r="G11" s="7"/>
      <c r="H11" s="7"/>
      <c r="I11" s="7" t="s">
        <v>74</v>
      </c>
      <c r="J11" s="7" t="s">
        <v>2278</v>
      </c>
      <c r="K11" s="7"/>
      <c r="L11" s="7"/>
      <c r="M11" s="7" t="s">
        <v>368</v>
      </c>
      <c r="N11" s="46"/>
      <c r="O11" s="7"/>
      <c r="P11" s="46">
        <v>9</v>
      </c>
      <c r="Q11" s="76" t="s">
        <v>2279</v>
      </c>
      <c r="R11" s="76" t="s">
        <v>2280</v>
      </c>
      <c r="U11" s="123"/>
      <c r="V11" s="123"/>
      <c r="W11" s="123"/>
      <c r="X11" s="123"/>
      <c r="Y11" s="123"/>
      <c r="Z11" s="123"/>
      <c r="AA11" s="123"/>
    </row>
    <row r="12" spans="1:27" ht="14.45">
      <c r="A12" s="7" t="s">
        <v>2281</v>
      </c>
      <c r="B12" s="7"/>
      <c r="C12" s="7"/>
      <c r="D12" s="83" t="s">
        <v>45</v>
      </c>
      <c r="E12" s="83" t="s">
        <v>2233</v>
      </c>
      <c r="F12" s="7" t="s">
        <v>2282</v>
      </c>
      <c r="G12" s="7"/>
      <c r="H12" s="7"/>
      <c r="I12" s="7" t="s">
        <v>74</v>
      </c>
      <c r="J12" s="7" t="s">
        <v>2282</v>
      </c>
      <c r="K12" s="7"/>
      <c r="L12" s="7"/>
      <c r="M12" s="7" t="s">
        <v>368</v>
      </c>
      <c r="N12" s="46"/>
      <c r="O12" s="7"/>
      <c r="P12" s="46">
        <v>10</v>
      </c>
      <c r="Q12" s="76" t="s">
        <v>2283</v>
      </c>
      <c r="R12" s="76" t="s">
        <v>2284</v>
      </c>
      <c r="U12" s="123"/>
      <c r="V12" s="123"/>
      <c r="W12" s="123"/>
      <c r="X12" s="123"/>
      <c r="Y12" s="123"/>
      <c r="Z12" s="123"/>
      <c r="AA12" s="123"/>
    </row>
    <row r="13" spans="1:27" ht="43.5">
      <c r="A13" s="37" t="s">
        <v>2285</v>
      </c>
      <c r="B13" s="37"/>
      <c r="C13" s="37"/>
      <c r="D13" s="83" t="s">
        <v>45</v>
      </c>
      <c r="E13" s="83" t="s">
        <v>2233</v>
      </c>
      <c r="F13" s="83" t="s">
        <v>2235</v>
      </c>
      <c r="G13" s="7"/>
      <c r="H13" s="7"/>
      <c r="I13" s="7" t="s">
        <v>74</v>
      </c>
      <c r="J13" s="7" t="s">
        <v>2286</v>
      </c>
      <c r="K13" s="7"/>
      <c r="L13" s="7"/>
      <c r="M13" s="7" t="s">
        <v>327</v>
      </c>
      <c r="N13" s="46"/>
      <c r="O13" s="50" t="s">
        <v>2287</v>
      </c>
      <c r="P13" s="46">
        <v>11</v>
      </c>
      <c r="Q13" s="76" t="s">
        <v>2288</v>
      </c>
      <c r="R13" s="76" t="s">
        <v>2289</v>
      </c>
      <c r="U13" s="123"/>
      <c r="V13" s="123"/>
      <c r="W13" s="123"/>
      <c r="X13" s="123"/>
      <c r="Y13" s="123"/>
      <c r="Z13" s="123"/>
      <c r="AA13" s="123"/>
    </row>
    <row r="14" spans="1:27" ht="43.5">
      <c r="A14" s="37" t="s">
        <v>2290</v>
      </c>
      <c r="B14" s="37"/>
      <c r="C14" s="37"/>
      <c r="D14" s="83" t="s">
        <v>45</v>
      </c>
      <c r="E14" s="83" t="s">
        <v>2233</v>
      </c>
      <c r="F14" s="83" t="s">
        <v>2235</v>
      </c>
      <c r="G14" s="7"/>
      <c r="H14" s="7"/>
      <c r="I14" s="7" t="s">
        <v>74</v>
      </c>
      <c r="J14" s="7" t="s">
        <v>2291</v>
      </c>
      <c r="K14" s="7"/>
      <c r="L14" s="7"/>
      <c r="M14" s="7" t="s">
        <v>327</v>
      </c>
      <c r="N14" s="46"/>
      <c r="O14" s="50" t="s">
        <v>2292</v>
      </c>
      <c r="P14" s="46">
        <v>12</v>
      </c>
      <c r="Q14" s="76" t="s">
        <v>2293</v>
      </c>
      <c r="R14" s="76" t="s">
        <v>2294</v>
      </c>
      <c r="U14" s="123"/>
      <c r="V14" s="123"/>
      <c r="W14" s="123"/>
      <c r="X14" s="123"/>
      <c r="Y14" s="123"/>
      <c r="Z14" s="123"/>
      <c r="AA14" s="123"/>
    </row>
    <row r="15" spans="1:27" ht="14.45">
      <c r="A15" s="122" t="s">
        <v>2295</v>
      </c>
      <c r="B15" s="122"/>
      <c r="C15" s="122"/>
      <c r="D15" s="83" t="s">
        <v>45</v>
      </c>
      <c r="E15" s="83" t="s">
        <v>2233</v>
      </c>
      <c r="F15" s="83" t="s">
        <v>1</v>
      </c>
      <c r="G15" s="83" t="s">
        <v>351</v>
      </c>
      <c r="H15" s="83">
        <v>256</v>
      </c>
      <c r="I15" s="83" t="s">
        <v>98</v>
      </c>
      <c r="J15" s="87" t="s">
        <v>2262</v>
      </c>
      <c r="K15" s="83"/>
      <c r="L15" s="83"/>
      <c r="M15" s="83" t="s">
        <v>327</v>
      </c>
      <c r="N15" s="46"/>
      <c r="O15" s="37" t="s">
        <v>2296</v>
      </c>
      <c r="P15" s="46">
        <v>13</v>
      </c>
      <c r="Q15" s="76" t="s">
        <v>2297</v>
      </c>
      <c r="R15" s="79" t="s">
        <v>2298</v>
      </c>
      <c r="U15" s="123"/>
      <c r="V15" s="123"/>
      <c r="W15" s="123"/>
      <c r="X15" s="123"/>
      <c r="Y15" s="123"/>
      <c r="Z15" s="123"/>
      <c r="AA15" s="123"/>
    </row>
    <row r="16" spans="1:27" ht="14.45">
      <c r="A16" s="37" t="s">
        <v>2299</v>
      </c>
      <c r="B16" s="37"/>
      <c r="C16" s="37"/>
      <c r="D16" s="83" t="s">
        <v>45</v>
      </c>
      <c r="E16" s="83" t="s">
        <v>2233</v>
      </c>
      <c r="F16" s="83" t="s">
        <v>2235</v>
      </c>
      <c r="G16" s="83" t="s">
        <v>2300</v>
      </c>
      <c r="H16" s="83"/>
      <c r="I16" s="83" t="s">
        <v>74</v>
      </c>
      <c r="J16" s="87" t="s">
        <v>2236</v>
      </c>
      <c r="K16" s="83"/>
      <c r="L16" s="83"/>
      <c r="M16" s="83" t="s">
        <v>327</v>
      </c>
      <c r="N16" s="46"/>
      <c r="O16" s="7" t="s">
        <v>2301</v>
      </c>
      <c r="P16" s="46"/>
      <c r="Q16" s="76"/>
      <c r="R16" s="79"/>
      <c r="U16" s="123"/>
      <c r="V16" s="123"/>
      <c r="W16" s="123"/>
      <c r="X16" s="123"/>
      <c r="Y16" s="123"/>
      <c r="Z16" s="123"/>
      <c r="AA16" s="123"/>
    </row>
    <row r="17" spans="1:27" ht="57.95">
      <c r="A17" s="83" t="s">
        <v>2302</v>
      </c>
      <c r="B17" s="83"/>
      <c r="C17" s="83"/>
      <c r="D17" s="83" t="s">
        <v>45</v>
      </c>
      <c r="E17" s="83" t="s">
        <v>2303</v>
      </c>
      <c r="F17" s="83" t="s">
        <v>1</v>
      </c>
      <c r="G17" s="83" t="s">
        <v>351</v>
      </c>
      <c r="H17" s="83">
        <v>256</v>
      </c>
      <c r="I17" s="83" t="s">
        <v>74</v>
      </c>
      <c r="J17" s="87" t="s">
        <v>2304</v>
      </c>
      <c r="K17" s="83"/>
      <c r="L17" s="83"/>
      <c r="M17" s="83" t="s">
        <v>327</v>
      </c>
      <c r="N17" s="46"/>
      <c r="O17" s="7"/>
      <c r="P17" s="46"/>
      <c r="Q17" s="76"/>
      <c r="R17" s="79"/>
      <c r="U17" s="123"/>
      <c r="V17" s="123"/>
      <c r="W17" s="123"/>
      <c r="X17" s="123"/>
      <c r="Y17" s="123"/>
      <c r="Z17" s="123"/>
      <c r="AA17" s="123"/>
    </row>
    <row r="18" spans="1:27" ht="14.45">
      <c r="A18" s="7" t="s">
        <v>2305</v>
      </c>
      <c r="B18" s="7"/>
      <c r="C18" s="7"/>
      <c r="D18" s="83" t="s">
        <v>45</v>
      </c>
      <c r="E18" s="83" t="s">
        <v>2233</v>
      </c>
      <c r="F18" s="83" t="s">
        <v>2235</v>
      </c>
      <c r="G18" s="7"/>
      <c r="H18" s="7"/>
      <c r="I18" s="7" t="s">
        <v>74</v>
      </c>
      <c r="J18" s="87" t="s">
        <v>2306</v>
      </c>
      <c r="K18" s="7"/>
      <c r="L18" s="7"/>
      <c r="M18" s="7" t="s">
        <v>327</v>
      </c>
      <c r="N18" s="46"/>
      <c r="O18" s="7"/>
      <c r="P18" s="46">
        <v>14</v>
      </c>
      <c r="Q18" s="76" t="s">
        <v>2307</v>
      </c>
      <c r="R18" s="76" t="s">
        <v>2308</v>
      </c>
      <c r="U18" s="123"/>
      <c r="V18" s="123"/>
      <c r="W18" s="123"/>
      <c r="X18" s="123"/>
      <c r="Y18" s="123"/>
      <c r="Z18" s="123"/>
      <c r="AA18" s="123"/>
    </row>
    <row r="19" spans="1:27" ht="14.45" hidden="1">
      <c r="A19" s="37" t="s">
        <v>2309</v>
      </c>
      <c r="B19" s="37"/>
      <c r="C19" s="37"/>
      <c r="D19" s="7" t="s">
        <v>40</v>
      </c>
      <c r="E19" s="7" t="s">
        <v>2310</v>
      </c>
      <c r="F19" s="7" t="s">
        <v>2311</v>
      </c>
      <c r="G19" s="7" t="s">
        <v>351</v>
      </c>
      <c r="H19" s="7">
        <v>10</v>
      </c>
      <c r="I19" s="7" t="s">
        <v>74</v>
      </c>
      <c r="J19" s="7" t="s">
        <v>2312</v>
      </c>
      <c r="K19" s="7"/>
      <c r="L19" s="7"/>
      <c r="M19" s="7" t="s">
        <v>327</v>
      </c>
      <c r="N19" s="46"/>
      <c r="O19" s="7" t="s">
        <v>2313</v>
      </c>
      <c r="P19" s="46">
        <v>15</v>
      </c>
      <c r="Q19" s="76" t="s">
        <v>2314</v>
      </c>
      <c r="R19" s="76" t="s">
        <v>2315</v>
      </c>
      <c r="U19" s="123"/>
      <c r="V19" s="123"/>
      <c r="W19" s="123"/>
      <c r="X19" s="123"/>
      <c r="Y19" s="123"/>
      <c r="Z19" s="123"/>
      <c r="AA19" s="123"/>
    </row>
    <row r="20" spans="1:27" ht="43.5" hidden="1">
      <c r="A20" s="37" t="s">
        <v>2316</v>
      </c>
      <c r="B20" s="37"/>
      <c r="C20" s="37"/>
      <c r="D20" s="7"/>
      <c r="E20" s="7"/>
      <c r="F20" s="7"/>
      <c r="G20" s="7"/>
      <c r="H20" s="7">
        <v>4</v>
      </c>
      <c r="I20" s="7" t="s">
        <v>74</v>
      </c>
      <c r="J20" s="50" t="s">
        <v>2317</v>
      </c>
      <c r="K20" s="7"/>
      <c r="L20" s="7"/>
      <c r="M20" s="7" t="s">
        <v>327</v>
      </c>
      <c r="N20" s="46"/>
      <c r="O20" s="50" t="s">
        <v>2318</v>
      </c>
      <c r="P20" s="46">
        <v>16</v>
      </c>
      <c r="Q20" s="76" t="s">
        <v>2319</v>
      </c>
      <c r="R20" s="76" t="s">
        <v>2320</v>
      </c>
      <c r="U20" s="123"/>
      <c r="V20" s="123"/>
      <c r="W20" s="123"/>
      <c r="X20" s="123"/>
      <c r="Y20" s="123"/>
      <c r="Z20" s="123"/>
      <c r="AA20" s="123"/>
    </row>
    <row r="21" spans="1:27" ht="14.45" hidden="1">
      <c r="A21" s="118" t="s">
        <v>408</v>
      </c>
      <c r="B21" s="118"/>
      <c r="C21" s="118"/>
      <c r="D21" s="22" t="s">
        <v>66</v>
      </c>
      <c r="E21" s="22" t="s">
        <v>407</v>
      </c>
      <c r="F21" s="22" t="s">
        <v>408</v>
      </c>
      <c r="G21" s="22" t="s">
        <v>319</v>
      </c>
      <c r="H21" s="22"/>
      <c r="I21" s="22" t="s">
        <v>74</v>
      </c>
      <c r="J21" s="22" t="s">
        <v>2321</v>
      </c>
      <c r="K21" s="22"/>
      <c r="L21" s="22"/>
      <c r="M21" s="22">
        <v>-1</v>
      </c>
      <c r="N21" s="46"/>
      <c r="O21" s="83" t="s">
        <v>2322</v>
      </c>
      <c r="P21" s="46">
        <v>17</v>
      </c>
      <c r="Q21" s="76" t="s">
        <v>2323</v>
      </c>
      <c r="R21" s="76" t="s">
        <v>2324</v>
      </c>
      <c r="U21" s="123"/>
      <c r="V21" s="123"/>
      <c r="W21" s="123"/>
      <c r="X21" s="123"/>
      <c r="Y21" s="123"/>
      <c r="Z21" s="123"/>
      <c r="AA21" s="123"/>
    </row>
    <row r="22" spans="1:27" ht="14.45" hidden="1">
      <c r="A22" s="37" t="s">
        <v>2325</v>
      </c>
      <c r="B22" s="37"/>
      <c r="C22" s="37"/>
      <c r="D22" s="7" t="s">
        <v>40</v>
      </c>
      <c r="E22" s="7" t="s">
        <v>2310</v>
      </c>
      <c r="F22" s="7" t="s">
        <v>2326</v>
      </c>
      <c r="G22" s="7" t="s">
        <v>351</v>
      </c>
      <c r="H22" s="7">
        <v>15</v>
      </c>
      <c r="I22" s="7" t="s">
        <v>74</v>
      </c>
      <c r="J22" s="7"/>
      <c r="K22" s="7"/>
      <c r="L22" s="7"/>
      <c r="M22" s="7" t="s">
        <v>327</v>
      </c>
      <c r="N22" s="46"/>
      <c r="O22" s="7" t="s">
        <v>2327</v>
      </c>
      <c r="P22" s="46">
        <v>18</v>
      </c>
      <c r="Q22" s="76" t="s">
        <v>2328</v>
      </c>
      <c r="R22" s="76" t="s">
        <v>2329</v>
      </c>
      <c r="U22" s="123"/>
      <c r="V22" s="123"/>
      <c r="W22" s="123"/>
      <c r="X22" s="123"/>
      <c r="Y22" s="123"/>
      <c r="Z22" s="123"/>
      <c r="AA22" s="123"/>
    </row>
    <row r="23" spans="1:27" ht="14.45">
      <c r="A23" s="83" t="s">
        <v>2330</v>
      </c>
      <c r="B23" s="83"/>
      <c r="C23" s="83"/>
      <c r="D23" s="83" t="s">
        <v>45</v>
      </c>
      <c r="E23" s="83" t="s">
        <v>2233</v>
      </c>
      <c r="F23" s="83" t="s">
        <v>2235</v>
      </c>
      <c r="G23" s="7"/>
      <c r="H23" s="7"/>
      <c r="I23" s="7" t="s">
        <v>74</v>
      </c>
      <c r="J23" s="87" t="s">
        <v>2331</v>
      </c>
      <c r="K23" s="7"/>
      <c r="L23" s="7"/>
      <c r="M23" s="7" t="s">
        <v>327</v>
      </c>
      <c r="N23" s="46"/>
      <c r="O23" s="7"/>
      <c r="P23" s="46">
        <v>19</v>
      </c>
      <c r="Q23" s="76" t="s">
        <v>2332</v>
      </c>
      <c r="R23" s="76" t="s">
        <v>2333</v>
      </c>
      <c r="U23" s="123"/>
      <c r="V23" s="123"/>
      <c r="W23" s="123"/>
      <c r="X23" s="123"/>
      <c r="Y23" s="123"/>
      <c r="Z23" s="123"/>
      <c r="AA23" s="123"/>
    </row>
    <row r="24" spans="1:27" ht="14.45" hidden="1">
      <c r="A24" s="37" t="s">
        <v>2334</v>
      </c>
      <c r="B24" s="37"/>
      <c r="C24" s="37"/>
      <c r="D24" s="7" t="s">
        <v>40</v>
      </c>
      <c r="E24" s="7" t="s">
        <v>2310</v>
      </c>
      <c r="F24" s="7" t="s">
        <v>2335</v>
      </c>
      <c r="G24" s="7" t="s">
        <v>351</v>
      </c>
      <c r="H24" s="7">
        <v>11</v>
      </c>
      <c r="I24" s="7" t="s">
        <v>74</v>
      </c>
      <c r="J24" s="7"/>
      <c r="K24" s="7"/>
      <c r="L24" s="7"/>
      <c r="M24" s="7" t="s">
        <v>327</v>
      </c>
      <c r="N24" s="46"/>
      <c r="O24" s="7" t="s">
        <v>2336</v>
      </c>
      <c r="P24" s="46">
        <v>20</v>
      </c>
      <c r="Q24" s="76" t="s">
        <v>2337</v>
      </c>
      <c r="R24" s="76" t="s">
        <v>2338</v>
      </c>
      <c r="U24" s="123"/>
      <c r="V24" s="123"/>
      <c r="W24" s="123"/>
      <c r="X24" s="123"/>
      <c r="Y24" s="123"/>
      <c r="Z24" s="123"/>
      <c r="AA24" s="123"/>
    </row>
    <row r="25" spans="1:27" ht="29.1">
      <c r="A25" s="37" t="s">
        <v>2339</v>
      </c>
      <c r="B25" s="37"/>
      <c r="C25" s="37"/>
      <c r="D25" s="83" t="s">
        <v>45</v>
      </c>
      <c r="E25" s="83" t="s">
        <v>2233</v>
      </c>
      <c r="F25" s="83" t="s">
        <v>2235</v>
      </c>
      <c r="G25" s="7"/>
      <c r="H25" s="7"/>
      <c r="I25" s="7" t="s">
        <v>74</v>
      </c>
      <c r="J25" s="87" t="s">
        <v>2340</v>
      </c>
      <c r="K25" s="7"/>
      <c r="L25" s="7"/>
      <c r="M25" s="7" t="s">
        <v>327</v>
      </c>
      <c r="N25" s="46"/>
      <c r="O25" s="50" t="s">
        <v>2341</v>
      </c>
      <c r="P25" s="46">
        <v>21</v>
      </c>
      <c r="Q25" s="76" t="s">
        <v>2342</v>
      </c>
      <c r="R25" s="76" t="s">
        <v>2343</v>
      </c>
      <c r="U25" s="123"/>
      <c r="V25" s="123"/>
      <c r="W25" s="123"/>
      <c r="X25" s="123"/>
      <c r="Y25" s="123"/>
      <c r="Z25" s="123"/>
      <c r="AA25" s="123"/>
    </row>
    <row r="26" spans="1:27" ht="14.45" hidden="1">
      <c r="A26" s="37" t="s">
        <v>2344</v>
      </c>
      <c r="B26" s="37"/>
      <c r="C26" s="37"/>
      <c r="D26" s="7" t="s">
        <v>40</v>
      </c>
      <c r="E26" s="7" t="s">
        <v>2310</v>
      </c>
      <c r="F26" s="7" t="s">
        <v>2345</v>
      </c>
      <c r="G26" s="7" t="s">
        <v>367</v>
      </c>
      <c r="H26" s="7"/>
      <c r="I26" s="7" t="s">
        <v>74</v>
      </c>
      <c r="J26" s="7"/>
      <c r="K26" s="7"/>
      <c r="L26" s="7"/>
      <c r="M26" s="7" t="s">
        <v>368</v>
      </c>
      <c r="N26" s="46"/>
      <c r="O26" s="7" t="s">
        <v>2346</v>
      </c>
      <c r="P26" s="46">
        <v>22</v>
      </c>
      <c r="Q26" s="76" t="s">
        <v>2347</v>
      </c>
      <c r="R26" s="76" t="s">
        <v>2348</v>
      </c>
      <c r="U26" s="123"/>
      <c r="V26" s="123"/>
      <c r="W26" s="123"/>
      <c r="X26" s="123"/>
      <c r="Y26" s="123"/>
      <c r="Z26" s="123"/>
      <c r="AA26" s="123"/>
    </row>
    <row r="27" spans="1:27" ht="14.45">
      <c r="A27" s="7" t="s">
        <v>2349</v>
      </c>
      <c r="B27" s="7"/>
      <c r="C27" s="7"/>
      <c r="D27" s="7" t="s">
        <v>45</v>
      </c>
      <c r="E27" s="7" t="s">
        <v>273</v>
      </c>
      <c r="F27" s="7" t="s">
        <v>2350</v>
      </c>
      <c r="G27" s="7"/>
      <c r="H27" s="7"/>
      <c r="I27" s="7" t="s">
        <v>74</v>
      </c>
      <c r="J27" s="50" t="s">
        <v>2351</v>
      </c>
      <c r="K27" s="7"/>
      <c r="L27" s="7"/>
      <c r="M27" s="7" t="s">
        <v>327</v>
      </c>
      <c r="N27" s="46"/>
      <c r="O27" s="7"/>
      <c r="P27" s="46">
        <v>23</v>
      </c>
      <c r="Q27" s="76" t="s">
        <v>2352</v>
      </c>
      <c r="R27" s="76" t="s">
        <v>2353</v>
      </c>
      <c r="U27" s="123"/>
      <c r="V27" s="123"/>
      <c r="W27" s="123"/>
      <c r="X27" s="123"/>
      <c r="Y27" s="123"/>
      <c r="Z27" s="123"/>
      <c r="AA27" s="123"/>
    </row>
    <row r="28" spans="1:27" ht="51.6" customHeight="1">
      <c r="A28" s="37" t="s">
        <v>2354</v>
      </c>
      <c r="B28" s="7"/>
      <c r="C28" s="7"/>
      <c r="D28" s="7" t="s">
        <v>45</v>
      </c>
      <c r="E28" s="7" t="s">
        <v>273</v>
      </c>
      <c r="F28" s="83" t="s">
        <v>2235</v>
      </c>
      <c r="G28" s="7"/>
      <c r="H28" s="7"/>
      <c r="I28" s="7" t="s">
        <v>74</v>
      </c>
      <c r="J28" s="82" t="s">
        <v>2355</v>
      </c>
      <c r="K28" s="7"/>
      <c r="L28" s="7"/>
      <c r="M28" s="7" t="s">
        <v>327</v>
      </c>
      <c r="N28" s="46"/>
      <c r="O28" s="7"/>
      <c r="P28" s="46">
        <v>24</v>
      </c>
      <c r="Q28" s="76" t="s">
        <v>2356</v>
      </c>
      <c r="R28" s="76" t="s">
        <v>2357</v>
      </c>
      <c r="U28" s="123"/>
      <c r="V28" s="123"/>
      <c r="W28" s="123"/>
      <c r="X28" s="123"/>
      <c r="Y28" s="123"/>
      <c r="Z28" s="123"/>
      <c r="AA28" s="123"/>
    </row>
    <row r="29" spans="1:27" ht="78" hidden="1" customHeight="1">
      <c r="A29" s="37" t="s">
        <v>2358</v>
      </c>
      <c r="B29" s="37"/>
      <c r="C29" s="37"/>
      <c r="D29" s="7" t="s">
        <v>12</v>
      </c>
      <c r="E29" s="7" t="s">
        <v>138</v>
      </c>
      <c r="F29" s="7" t="s">
        <v>10</v>
      </c>
      <c r="G29" s="7" t="s">
        <v>351</v>
      </c>
      <c r="H29" s="7">
        <v>-1</v>
      </c>
      <c r="I29" s="7" t="s">
        <v>74</v>
      </c>
      <c r="J29" s="50" t="s">
        <v>2359</v>
      </c>
      <c r="K29" s="7"/>
      <c r="L29" s="7"/>
      <c r="M29" s="7" t="s">
        <v>327</v>
      </c>
      <c r="N29" s="46"/>
      <c r="O29" s="50" t="s">
        <v>2360</v>
      </c>
      <c r="P29" s="46">
        <v>25</v>
      </c>
      <c r="Q29" s="76" t="s">
        <v>2361</v>
      </c>
      <c r="R29" s="76" t="s">
        <v>2362</v>
      </c>
      <c r="U29" s="123"/>
      <c r="V29" s="123"/>
      <c r="W29" s="123"/>
      <c r="X29" s="123"/>
      <c r="Y29" s="123"/>
      <c r="Z29" s="123"/>
      <c r="AA29" s="123"/>
    </row>
    <row r="30" spans="1:27" ht="64.5" hidden="1" customHeight="1">
      <c r="A30" s="37" t="s">
        <v>2363</v>
      </c>
      <c r="B30" s="37"/>
      <c r="C30" s="37"/>
      <c r="D30" s="7" t="s">
        <v>12</v>
      </c>
      <c r="E30" s="7" t="s">
        <v>138</v>
      </c>
      <c r="F30" s="7" t="s">
        <v>2364</v>
      </c>
      <c r="G30" s="7" t="s">
        <v>351</v>
      </c>
      <c r="H30" s="7">
        <v>50</v>
      </c>
      <c r="I30" s="7" t="s">
        <v>74</v>
      </c>
      <c r="J30" s="7"/>
      <c r="K30" s="7"/>
      <c r="L30" s="7"/>
      <c r="M30" s="7" t="s">
        <v>327</v>
      </c>
      <c r="N30" s="46"/>
      <c r="O30" s="50" t="s">
        <v>2365</v>
      </c>
      <c r="P30" s="46">
        <v>26</v>
      </c>
      <c r="Q30" s="76" t="s">
        <v>2366</v>
      </c>
      <c r="R30" s="76" t="s">
        <v>2367</v>
      </c>
      <c r="U30" s="123"/>
      <c r="V30" s="123"/>
      <c r="W30" s="123"/>
      <c r="X30" s="123"/>
      <c r="Y30" s="123"/>
      <c r="Z30" s="123"/>
      <c r="AA30" s="123"/>
    </row>
    <row r="31" spans="1:27" s="154" customFormat="1" ht="43.5">
      <c r="A31" s="150" t="s">
        <v>2368</v>
      </c>
      <c r="B31" s="150"/>
      <c r="C31" s="150"/>
      <c r="D31" s="150" t="s">
        <v>45</v>
      </c>
      <c r="E31" s="150" t="s">
        <v>2233</v>
      </c>
      <c r="F31" s="151" t="s">
        <v>2235</v>
      </c>
      <c r="G31" s="150"/>
      <c r="H31" s="150"/>
      <c r="I31" s="150" t="s">
        <v>74</v>
      </c>
      <c r="J31" s="150" t="s">
        <v>2369</v>
      </c>
      <c r="K31" s="150"/>
      <c r="L31" s="150"/>
      <c r="M31" s="150" t="s">
        <v>327</v>
      </c>
      <c r="N31" s="152"/>
      <c r="O31" s="159" t="s">
        <v>2370</v>
      </c>
      <c r="P31" s="152">
        <v>27</v>
      </c>
      <c r="Q31" s="153" t="s">
        <v>2371</v>
      </c>
      <c r="R31" s="153" t="s">
        <v>2372</v>
      </c>
      <c r="S31" s="159" t="s">
        <v>2373</v>
      </c>
      <c r="U31" s="155"/>
      <c r="V31" s="155"/>
      <c r="W31" s="155"/>
      <c r="X31" s="155"/>
      <c r="Y31" s="155"/>
      <c r="Z31" s="155"/>
      <c r="AA31" s="155"/>
    </row>
    <row r="32" spans="1:27" s="154" customFormat="1" ht="87">
      <c r="A32" s="150" t="s">
        <v>2374</v>
      </c>
      <c r="B32" s="150"/>
      <c r="C32" s="150"/>
      <c r="D32" s="150" t="s">
        <v>45</v>
      </c>
      <c r="E32" s="150" t="s">
        <v>2233</v>
      </c>
      <c r="F32" s="151" t="s">
        <v>2235</v>
      </c>
      <c r="G32" s="150" t="s">
        <v>346</v>
      </c>
      <c r="H32" s="150"/>
      <c r="I32" s="150" t="s">
        <v>98</v>
      </c>
      <c r="J32" s="150" t="s">
        <v>2291</v>
      </c>
      <c r="K32" s="150"/>
      <c r="L32" s="150"/>
      <c r="M32" s="150" t="s">
        <v>327</v>
      </c>
      <c r="N32" s="152"/>
      <c r="O32" s="150"/>
      <c r="P32" s="152">
        <v>28</v>
      </c>
      <c r="Q32" s="153" t="s">
        <v>2375</v>
      </c>
      <c r="R32" s="153" t="s">
        <v>2376</v>
      </c>
      <c r="S32" s="156" t="s">
        <v>2377</v>
      </c>
      <c r="U32" s="155"/>
      <c r="V32" s="155"/>
      <c r="W32" s="155"/>
      <c r="X32" s="155"/>
      <c r="Y32" s="155"/>
      <c r="Z32" s="155"/>
      <c r="AA32" s="155"/>
    </row>
    <row r="33" spans="1:27" ht="32.25" hidden="1" customHeight="1">
      <c r="A33" s="22" t="s">
        <v>425</v>
      </c>
      <c r="B33" s="22"/>
      <c r="C33" s="22"/>
      <c r="D33" s="22" t="s">
        <v>66</v>
      </c>
      <c r="E33" s="22" t="s">
        <v>140</v>
      </c>
      <c r="F33" s="22" t="s">
        <v>425</v>
      </c>
      <c r="G33" s="22" t="s">
        <v>319</v>
      </c>
      <c r="H33" s="22"/>
      <c r="I33" s="22" t="s">
        <v>74</v>
      </c>
      <c r="J33" s="26" t="s">
        <v>2378</v>
      </c>
      <c r="K33" s="22"/>
      <c r="L33" s="22"/>
      <c r="M33" s="22">
        <v>-1</v>
      </c>
      <c r="N33" s="46"/>
      <c r="O33" s="7" t="s">
        <v>2379</v>
      </c>
      <c r="P33" s="46">
        <v>29</v>
      </c>
      <c r="Q33" s="76" t="s">
        <v>2380</v>
      </c>
      <c r="R33" s="76" t="s">
        <v>2381</v>
      </c>
      <c r="U33" s="123"/>
      <c r="V33" s="123"/>
      <c r="W33" s="123"/>
      <c r="X33" s="123"/>
      <c r="Y33" s="123"/>
      <c r="Z33" s="123"/>
      <c r="AA33" s="123"/>
    </row>
    <row r="34" spans="1:27" s="154" customFormat="1" ht="14.45">
      <c r="A34" s="157" t="s">
        <v>2382</v>
      </c>
      <c r="B34" s="157"/>
      <c r="C34" s="157"/>
      <c r="D34" s="150" t="s">
        <v>45</v>
      </c>
      <c r="E34" s="150" t="s">
        <v>2233</v>
      </c>
      <c r="F34" s="151" t="s">
        <v>2235</v>
      </c>
      <c r="G34" s="150" t="s">
        <v>346</v>
      </c>
      <c r="H34" s="150"/>
      <c r="I34" s="150" t="s">
        <v>98</v>
      </c>
      <c r="J34" s="150" t="s">
        <v>2383</v>
      </c>
      <c r="K34" s="150"/>
      <c r="L34" s="150"/>
      <c r="M34" s="150" t="s">
        <v>327</v>
      </c>
      <c r="N34" s="152"/>
      <c r="O34" s="150" t="s">
        <v>2384</v>
      </c>
      <c r="P34" s="152">
        <v>30</v>
      </c>
      <c r="Q34" s="158" t="s">
        <v>2385</v>
      </c>
      <c r="R34" s="153" t="s">
        <v>2386</v>
      </c>
      <c r="S34" s="154" t="s">
        <v>2387</v>
      </c>
      <c r="U34" s="155"/>
      <c r="V34" s="155"/>
      <c r="W34" s="155"/>
      <c r="X34" s="155"/>
      <c r="Y34" s="155"/>
      <c r="Z34" s="155"/>
      <c r="AA34" s="155"/>
    </row>
    <row r="35" spans="1:27" s="154" customFormat="1" ht="14.45">
      <c r="A35" s="150" t="s">
        <v>345</v>
      </c>
      <c r="B35" s="150"/>
      <c r="C35" s="150"/>
      <c r="D35" s="150" t="s">
        <v>45</v>
      </c>
      <c r="E35" s="151" t="s">
        <v>2303</v>
      </c>
      <c r="F35" s="150" t="s">
        <v>347</v>
      </c>
      <c r="G35" s="150" t="s">
        <v>346</v>
      </c>
      <c r="H35" s="150"/>
      <c r="I35" s="150" t="s">
        <v>98</v>
      </c>
      <c r="J35" s="160" t="s">
        <v>2388</v>
      </c>
      <c r="K35" s="150"/>
      <c r="L35" s="150" t="s">
        <v>2389</v>
      </c>
      <c r="M35" s="150" t="b">
        <v>0</v>
      </c>
      <c r="N35" s="152"/>
      <c r="O35" s="150" t="s">
        <v>2390</v>
      </c>
      <c r="P35" s="152">
        <v>31</v>
      </c>
      <c r="Q35" s="153" t="s">
        <v>2391</v>
      </c>
      <c r="R35" s="153" t="s">
        <v>2392</v>
      </c>
      <c r="S35" s="154" t="s">
        <v>2393</v>
      </c>
      <c r="U35" s="155"/>
      <c r="V35" s="155"/>
      <c r="W35" s="155"/>
      <c r="X35" s="155"/>
      <c r="Y35" s="155"/>
      <c r="Z35" s="155"/>
      <c r="AA35" s="155"/>
    </row>
    <row r="36" spans="1:27" ht="14.45">
      <c r="A36" s="7" t="s">
        <v>2394</v>
      </c>
      <c r="B36" s="7"/>
      <c r="C36" s="7"/>
      <c r="D36" s="7" t="s">
        <v>45</v>
      </c>
      <c r="E36" s="7" t="s">
        <v>2233</v>
      </c>
      <c r="F36" s="7" t="s">
        <v>2395</v>
      </c>
      <c r="G36" s="7"/>
      <c r="H36" s="7"/>
      <c r="I36" s="7" t="s">
        <v>74</v>
      </c>
      <c r="J36" s="7"/>
      <c r="K36" s="7"/>
      <c r="L36" s="7"/>
      <c r="M36" s="7" t="s">
        <v>368</v>
      </c>
      <c r="N36" s="46"/>
      <c r="O36" s="7"/>
      <c r="P36" s="46">
        <v>32</v>
      </c>
      <c r="Q36" s="76" t="s">
        <v>2396</v>
      </c>
      <c r="R36" s="76" t="s">
        <v>2397</v>
      </c>
      <c r="U36" s="123"/>
      <c r="V36" s="123"/>
      <c r="W36" s="123"/>
      <c r="X36" s="123"/>
      <c r="Y36" s="123"/>
      <c r="Z36" s="123"/>
      <c r="AA36" s="123"/>
    </row>
    <row r="37" spans="1:27" ht="46.5" customHeight="1">
      <c r="A37" s="7" t="s">
        <v>1590</v>
      </c>
      <c r="B37" s="7"/>
      <c r="C37" s="7"/>
      <c r="D37" s="7" t="s">
        <v>45</v>
      </c>
      <c r="E37" s="7" t="s">
        <v>2233</v>
      </c>
      <c r="F37" s="7" t="s">
        <v>2241</v>
      </c>
      <c r="G37" s="7"/>
      <c r="H37" s="7"/>
      <c r="I37" s="7" t="s">
        <v>98</v>
      </c>
      <c r="J37" s="7"/>
      <c r="K37" s="7"/>
      <c r="L37" s="7"/>
      <c r="M37" s="7" t="s">
        <v>368</v>
      </c>
      <c r="N37" s="46"/>
      <c r="O37" s="50"/>
      <c r="P37" s="46">
        <v>33</v>
      </c>
      <c r="Q37" s="76" t="s">
        <v>2398</v>
      </c>
      <c r="R37" s="76" t="s">
        <v>2399</v>
      </c>
      <c r="U37" s="123"/>
      <c r="V37" s="123"/>
      <c r="W37" s="123"/>
      <c r="X37" s="123"/>
      <c r="Y37" s="123"/>
      <c r="Z37" s="123"/>
      <c r="AA37" s="123"/>
    </row>
    <row r="38" spans="1:27" ht="14.45" hidden="1">
      <c r="A38" s="8" t="s">
        <v>350</v>
      </c>
      <c r="B38" s="8"/>
      <c r="C38" s="8"/>
      <c r="D38" s="8" t="s">
        <v>320</v>
      </c>
      <c r="E38" s="8"/>
      <c r="F38" s="8"/>
      <c r="G38" s="8" t="s">
        <v>351</v>
      </c>
      <c r="H38" s="8">
        <v>100</v>
      </c>
      <c r="I38" s="8" t="s">
        <v>98</v>
      </c>
      <c r="J38" s="8"/>
      <c r="K38" s="8"/>
      <c r="L38" s="8"/>
      <c r="M38" s="8" t="s">
        <v>327</v>
      </c>
      <c r="N38" s="46"/>
      <c r="O38" s="7"/>
      <c r="P38" s="46">
        <v>34</v>
      </c>
      <c r="Q38" s="88" t="s">
        <v>2400</v>
      </c>
      <c r="R38" t="s">
        <v>2401</v>
      </c>
      <c r="U38" s="123"/>
      <c r="V38" s="123"/>
      <c r="W38" s="123"/>
      <c r="X38" s="123"/>
      <c r="Y38" s="123"/>
      <c r="Z38" s="123"/>
      <c r="AA38" s="123"/>
    </row>
    <row r="39" spans="1:27" ht="14.45" hidden="1">
      <c r="A39" s="8" t="s">
        <v>354</v>
      </c>
      <c r="B39" s="8"/>
      <c r="C39" s="8"/>
      <c r="D39" s="8" t="s">
        <v>320</v>
      </c>
      <c r="E39" s="8"/>
      <c r="F39" s="8"/>
      <c r="G39" s="8" t="s">
        <v>351</v>
      </c>
      <c r="H39" s="8">
        <v>100</v>
      </c>
      <c r="I39" s="8" t="s">
        <v>98</v>
      </c>
      <c r="J39" s="8"/>
      <c r="K39" s="8"/>
      <c r="L39" s="8"/>
      <c r="M39" s="8" t="s">
        <v>327</v>
      </c>
      <c r="N39" s="46"/>
      <c r="O39" s="7"/>
      <c r="P39" s="46">
        <v>35</v>
      </c>
      <c r="Q39" s="88" t="s">
        <v>2402</v>
      </c>
      <c r="R39" t="s">
        <v>2403</v>
      </c>
      <c r="U39" s="123"/>
      <c r="V39" s="123"/>
      <c r="W39" s="123"/>
      <c r="X39" s="123"/>
      <c r="Y39" s="123"/>
      <c r="Z39" s="123"/>
      <c r="AA39" s="123"/>
    </row>
    <row r="40" spans="1:27" ht="14.45" hidden="1">
      <c r="A40" s="8" t="s">
        <v>357</v>
      </c>
      <c r="B40" s="8"/>
      <c r="C40" s="8"/>
      <c r="D40" s="8" t="s">
        <v>320</v>
      </c>
      <c r="E40" s="8"/>
      <c r="F40" s="8"/>
      <c r="G40" s="8" t="s">
        <v>351</v>
      </c>
      <c r="H40" s="8">
        <v>100</v>
      </c>
      <c r="I40" s="8" t="s">
        <v>98</v>
      </c>
      <c r="J40" s="8"/>
      <c r="K40" s="8"/>
      <c r="L40" s="8"/>
      <c r="M40" s="8" t="s">
        <v>327</v>
      </c>
      <c r="N40" s="46"/>
      <c r="O40" s="7"/>
      <c r="P40" s="46">
        <v>36</v>
      </c>
      <c r="Q40" s="88" t="s">
        <v>2404</v>
      </c>
      <c r="R40" t="s">
        <v>2405</v>
      </c>
      <c r="U40" s="123"/>
      <c r="V40" s="123"/>
      <c r="W40" s="123"/>
      <c r="X40" s="123"/>
      <c r="Y40" s="123"/>
      <c r="Z40" s="123"/>
      <c r="AA40" s="123"/>
    </row>
    <row r="41" spans="1:27" ht="14.45" hidden="1">
      <c r="A41" s="8" t="s">
        <v>360</v>
      </c>
      <c r="B41" s="8"/>
      <c r="C41" s="8"/>
      <c r="D41" s="8" t="s">
        <v>320</v>
      </c>
      <c r="E41" s="8"/>
      <c r="F41" s="8"/>
      <c r="G41" s="8" t="s">
        <v>351</v>
      </c>
      <c r="H41" s="8">
        <v>100</v>
      </c>
      <c r="I41" s="8" t="s">
        <v>98</v>
      </c>
      <c r="J41" s="8"/>
      <c r="K41" s="8"/>
      <c r="L41" s="8"/>
      <c r="M41" s="8" t="s">
        <v>327</v>
      </c>
      <c r="N41" s="46"/>
      <c r="O41" s="7"/>
      <c r="P41" s="46">
        <v>37</v>
      </c>
      <c r="Q41" s="88" t="s">
        <v>2406</v>
      </c>
      <c r="R41" t="s">
        <v>2407</v>
      </c>
      <c r="U41" s="123"/>
      <c r="V41" s="123"/>
      <c r="W41" s="123"/>
      <c r="X41" s="123"/>
      <c r="Y41" s="123"/>
      <c r="Z41" s="123"/>
      <c r="AA41" s="123"/>
    </row>
    <row r="42" spans="1:27" ht="14.45" hidden="1">
      <c r="A42" s="8" t="s">
        <v>363</v>
      </c>
      <c r="B42" s="8"/>
      <c r="C42" s="8"/>
      <c r="D42" s="8" t="s">
        <v>320</v>
      </c>
      <c r="E42" s="8"/>
      <c r="F42" s="8"/>
      <c r="G42" s="8" t="s">
        <v>351</v>
      </c>
      <c r="H42" s="8">
        <v>100</v>
      </c>
      <c r="I42" s="8" t="s">
        <v>98</v>
      </c>
      <c r="J42" s="8"/>
      <c r="K42" s="8"/>
      <c r="L42" s="8"/>
      <c r="M42" s="8" t="s">
        <v>327</v>
      </c>
      <c r="N42" s="46"/>
      <c r="O42" s="7"/>
      <c r="P42" s="46">
        <v>38</v>
      </c>
      <c r="Q42" s="88" t="s">
        <v>2408</v>
      </c>
      <c r="R42" t="s">
        <v>2409</v>
      </c>
      <c r="U42" s="125"/>
      <c r="V42" s="125"/>
      <c r="W42" s="125"/>
      <c r="X42" s="125"/>
      <c r="Y42" s="125"/>
      <c r="Z42" s="125"/>
      <c r="AA42" s="124"/>
    </row>
    <row r="43" spans="1:27" ht="14.45" hidden="1">
      <c r="A43" s="8" t="s">
        <v>366</v>
      </c>
      <c r="B43" s="8"/>
      <c r="C43" s="8"/>
      <c r="D43" s="8" t="s">
        <v>320</v>
      </c>
      <c r="E43" s="8"/>
      <c r="F43" s="8"/>
      <c r="G43" s="8" t="s">
        <v>367</v>
      </c>
      <c r="H43" s="8"/>
      <c r="I43" s="8" t="s">
        <v>98</v>
      </c>
      <c r="J43" s="8"/>
      <c r="K43" s="8"/>
      <c r="L43" s="8"/>
      <c r="M43" s="8" t="s">
        <v>368</v>
      </c>
      <c r="N43" s="46"/>
      <c r="O43" s="7"/>
      <c r="P43" s="46">
        <v>39</v>
      </c>
      <c r="Q43" s="88" t="s">
        <v>2410</v>
      </c>
      <c r="R43" t="s">
        <v>2411</v>
      </c>
    </row>
    <row r="44" spans="1:27" ht="14.45" hidden="1">
      <c r="A44" s="8" t="s">
        <v>371</v>
      </c>
      <c r="B44" s="8"/>
      <c r="C44" s="8"/>
      <c r="D44" s="8" t="s">
        <v>320</v>
      </c>
      <c r="E44" s="8"/>
      <c r="F44" s="8"/>
      <c r="G44" s="8" t="s">
        <v>367</v>
      </c>
      <c r="H44" s="8"/>
      <c r="I44" s="8" t="s">
        <v>98</v>
      </c>
      <c r="J44" s="8"/>
      <c r="K44" s="8"/>
      <c r="L44" s="8"/>
      <c r="M44" s="8" t="s">
        <v>368</v>
      </c>
      <c r="N44" s="46"/>
      <c r="O44" s="7"/>
      <c r="P44" s="46">
        <v>40</v>
      </c>
      <c r="Q44" s="88" t="s">
        <v>2412</v>
      </c>
      <c r="R44" t="s">
        <v>2413</v>
      </c>
    </row>
    <row r="45" spans="1:27" ht="14.45" hidden="1">
      <c r="A45" s="8" t="s">
        <v>374</v>
      </c>
      <c r="B45" s="8"/>
      <c r="C45" s="8"/>
      <c r="D45" s="8" t="s">
        <v>320</v>
      </c>
      <c r="E45" s="8"/>
      <c r="F45" s="8"/>
      <c r="G45" s="8" t="s">
        <v>351</v>
      </c>
      <c r="H45" s="8">
        <v>100</v>
      </c>
      <c r="I45" s="8" t="s">
        <v>98</v>
      </c>
      <c r="J45" s="8"/>
      <c r="K45" s="8"/>
      <c r="L45" s="8"/>
      <c r="M45" s="8" t="s">
        <v>327</v>
      </c>
      <c r="N45" s="46"/>
      <c r="O45" s="7"/>
      <c r="P45" s="46">
        <v>41</v>
      </c>
      <c r="Q45" s="88" t="s">
        <v>2414</v>
      </c>
      <c r="R45" t="s">
        <v>2415</v>
      </c>
    </row>
    <row r="48" spans="1:27" ht="14.45">
      <c r="A48" s="21"/>
      <c r="B48" s="21"/>
      <c r="C48" s="21"/>
    </row>
    <row r="49" spans="1:3" ht="14.45">
      <c r="A49" s="21" t="s">
        <v>1032</v>
      </c>
      <c r="B49" s="21"/>
      <c r="C49" s="21"/>
    </row>
    <row r="50" spans="1:3" ht="14.45">
      <c r="A50" s="35" t="s">
        <v>2416</v>
      </c>
      <c r="B50" s="35"/>
      <c r="C50" s="35"/>
    </row>
    <row r="51" spans="1:3" ht="14.45">
      <c r="A51" s="35" t="s">
        <v>2417</v>
      </c>
      <c r="B51" s="35"/>
      <c r="C51" s="35"/>
    </row>
    <row r="52" spans="1:3" ht="14.45">
      <c r="A52" s="35" t="s">
        <v>2418</v>
      </c>
      <c r="B52" s="35"/>
      <c r="C52" s="35"/>
    </row>
    <row r="53" spans="1:3" ht="14.45">
      <c r="A53" s="120" t="s">
        <v>2419</v>
      </c>
      <c r="B53" s="120"/>
      <c r="C53" s="120"/>
    </row>
    <row r="54" spans="1:3" ht="14.45">
      <c r="A54" s="88" t="s">
        <v>2420</v>
      </c>
      <c r="B54" s="88"/>
      <c r="C54" s="88"/>
    </row>
    <row r="55" spans="1:3" ht="14.45">
      <c r="A55" t="s">
        <v>2421</v>
      </c>
    </row>
    <row r="57" spans="1:3" ht="14.45">
      <c r="A57" s="21" t="s">
        <v>1698</v>
      </c>
      <c r="B57" s="21"/>
      <c r="C57" s="21"/>
    </row>
    <row r="58" spans="1:3" ht="14.45">
      <c r="A58" s="36" t="s">
        <v>2230</v>
      </c>
      <c r="B58" s="36"/>
      <c r="C58" s="36"/>
    </row>
    <row r="59" spans="1:3" ht="14.45">
      <c r="A59" s="103"/>
      <c r="B59" s="103"/>
      <c r="C59" s="103"/>
    </row>
    <row r="61" spans="1:3" ht="15" customHeight="1">
      <c r="A61" s="88" t="s">
        <v>2422</v>
      </c>
      <c r="B61" s="88"/>
      <c r="C61" s="88"/>
    </row>
    <row r="62" spans="1:3" ht="14.45">
      <c r="A62" s="102"/>
      <c r="B62" s="102"/>
      <c r="C62" s="102"/>
    </row>
  </sheetData>
  <autoFilter ref="A2:AA45" xr:uid="{F496CA10-D06F-44F1-B3A9-021022D9E6A0}">
    <filterColumn colId="4">
      <filters>
        <filter val="cmidb_addresses"/>
        <filter val="cmidb_clients"/>
        <filter val="cmidb_clientstatuses"/>
        <filter val="cmidb_parties"/>
      </filters>
    </filterColumn>
  </autoFilter>
  <conditionalFormatting sqref="Q3:Q45">
    <cfRule type="expression" dxfId="124" priority="1">
      <formula>$L3="Y"</formula>
    </cfRule>
    <cfRule type="expression" dxfId="123" priority="2">
      <formula>$J3="Foreign"</formula>
    </cfRule>
    <cfRule type="expression" dxfId="122" priority="3">
      <formula>$J3="Business"</formula>
    </cfRule>
    <cfRule type="expression" dxfId="121" priority="4">
      <formula>$J3="Primary"</formula>
    </cfRule>
  </conditionalFormatting>
  <conditionalFormatting sqref="Q3:Q45">
    <cfRule type="duplicateValues" dxfId="120" priority="5"/>
  </conditionalFormatting>
  <hyperlinks>
    <hyperlink ref="A58" location="'Clients to Migrate'!A1" display="See Clients to Migrate sheet" xr:uid="{F6009B93-97BE-4B02-BD0E-6C5822F6E498}"/>
  </hyperlinks>
  <pageMargins left="0.7" right="0.7" top="0.75" bottom="0.75" header="0.3" footer="0.3"/>
  <pageSetup paperSize="9" orientation="portrai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76CD4-A42D-4290-ADC6-FE7A11348E22}">
  <sheetPr codeName="Sheet55" filterMode="1">
    <tabColor rgb="FFFFC000"/>
  </sheetPr>
  <dimension ref="A1:AA62"/>
  <sheetViews>
    <sheetView zoomScale="80" zoomScaleNormal="80" workbookViewId="0">
      <pane xSplit="4" ySplit="2" topLeftCell="E4" activePane="bottomRight" state="frozen"/>
      <selection pane="bottomRight"/>
      <selection pane="bottomLeft" activeCell="A3" sqref="A3"/>
      <selection pane="topRight" activeCell="B1" sqref="B1"/>
    </sheetView>
  </sheetViews>
  <sheetFormatPr defaultRowHeight="15" customHeight="1"/>
  <cols>
    <col min="1" max="1" width="36.140625" customWidth="1"/>
    <col min="2" max="2" width="17.42578125" customWidth="1"/>
    <col min="3" max="3" width="16.28515625" customWidth="1"/>
    <col min="4" max="4" width="20" customWidth="1"/>
    <col min="5" max="5" width="20.7109375" customWidth="1"/>
    <col min="6" max="6" width="24.85546875" customWidth="1"/>
    <col min="7" max="7" width="17.42578125" customWidth="1"/>
    <col min="8" max="8" width="16.42578125" customWidth="1"/>
    <col min="9" max="9" width="17" bestFit="1" customWidth="1"/>
    <col min="10" max="10" width="67.7109375" customWidth="1"/>
    <col min="11" max="13" width="20.7109375" customWidth="1"/>
    <col min="14" max="14" width="14.7109375" style="44" customWidth="1"/>
    <col min="15" max="15" width="52.85546875" customWidth="1"/>
    <col min="16" max="16" width="17.28515625" style="44" bestFit="1" customWidth="1"/>
    <col min="17" max="17" width="39.5703125" bestFit="1" customWidth="1"/>
    <col min="18" max="18" width="40.42578125" bestFit="1" customWidth="1"/>
    <col min="19" max="19" width="66.85546875" customWidth="1"/>
  </cols>
  <sheetData>
    <row r="1" spans="1:27" ht="60" customHeight="1">
      <c r="A1" s="1" t="s">
        <v>118</v>
      </c>
      <c r="B1" s="1"/>
      <c r="C1" s="1"/>
      <c r="F1" s="2" t="s">
        <v>297</v>
      </c>
      <c r="K1" s="3" t="s">
        <v>298</v>
      </c>
      <c r="L1" s="4" t="s">
        <v>299</v>
      </c>
      <c r="M1" s="19" t="s">
        <v>300</v>
      </c>
      <c r="N1" s="45" t="s">
        <v>301</v>
      </c>
      <c r="O1" s="44"/>
    </row>
    <row r="2" spans="1:27"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c r="S2" s="78" t="s">
        <v>2243</v>
      </c>
    </row>
    <row r="3" spans="1:27" ht="14.45" hidden="1">
      <c r="A3" s="6" t="s">
        <v>1235</v>
      </c>
      <c r="B3" s="6"/>
      <c r="C3" s="6"/>
      <c r="D3" s="6" t="s">
        <v>320</v>
      </c>
      <c r="E3" s="6"/>
      <c r="F3" s="6"/>
      <c r="G3" s="6" t="s">
        <v>319</v>
      </c>
      <c r="H3" s="6"/>
      <c r="I3" s="6" t="s">
        <v>98</v>
      </c>
      <c r="J3" s="6" t="s">
        <v>321</v>
      </c>
      <c r="K3" s="6"/>
      <c r="L3" s="6"/>
      <c r="M3" s="6">
        <v>-1</v>
      </c>
      <c r="N3" s="46"/>
      <c r="O3" s="7"/>
      <c r="P3" s="46">
        <v>1</v>
      </c>
      <c r="Q3" s="88" t="s">
        <v>2244</v>
      </c>
      <c r="R3" t="s">
        <v>2245</v>
      </c>
      <c r="U3" s="123"/>
      <c r="V3" s="123"/>
      <c r="W3" s="123"/>
      <c r="X3" s="123"/>
      <c r="Y3" s="123"/>
      <c r="Z3" s="123"/>
      <c r="AA3" s="124"/>
    </row>
    <row r="4" spans="1:27" ht="14.45">
      <c r="A4" s="9" t="s">
        <v>1230</v>
      </c>
      <c r="B4" s="9"/>
      <c r="C4" s="9"/>
      <c r="D4" s="9" t="s">
        <v>45</v>
      </c>
      <c r="E4" s="9" t="s">
        <v>2233</v>
      </c>
      <c r="F4" s="9" t="s">
        <v>1621</v>
      </c>
      <c r="G4" s="9" t="s">
        <v>2246</v>
      </c>
      <c r="H4" s="9">
        <v>20</v>
      </c>
      <c r="I4" s="9" t="s">
        <v>98</v>
      </c>
      <c r="J4" s="9" t="s">
        <v>2247</v>
      </c>
      <c r="K4" s="9"/>
      <c r="L4" s="9"/>
      <c r="M4" s="9" t="s">
        <v>327</v>
      </c>
      <c r="N4" s="46"/>
      <c r="O4" s="37"/>
      <c r="P4" s="46">
        <v>2</v>
      </c>
      <c r="Q4" s="76" t="s">
        <v>2248</v>
      </c>
      <c r="R4" s="76" t="s">
        <v>2249</v>
      </c>
      <c r="U4" s="123"/>
      <c r="V4" s="123"/>
      <c r="W4" s="123"/>
      <c r="X4" s="123"/>
      <c r="Y4" s="123"/>
      <c r="Z4" s="123"/>
      <c r="AA4" s="123"/>
    </row>
    <row r="5" spans="1:27" ht="14.45">
      <c r="A5" s="9" t="s">
        <v>487</v>
      </c>
      <c r="B5" s="9"/>
      <c r="C5" s="9"/>
      <c r="D5" s="9" t="s">
        <v>45</v>
      </c>
      <c r="E5" s="9" t="s">
        <v>2233</v>
      </c>
      <c r="F5" s="9" t="s">
        <v>2235</v>
      </c>
      <c r="G5" s="9" t="s">
        <v>325</v>
      </c>
      <c r="H5" s="9">
        <v>10</v>
      </c>
      <c r="I5" s="9" t="s">
        <v>98</v>
      </c>
      <c r="J5" s="70" t="s">
        <v>2236</v>
      </c>
      <c r="K5" s="9"/>
      <c r="L5" s="9"/>
      <c r="M5" s="9" t="s">
        <v>327</v>
      </c>
      <c r="N5" s="46"/>
      <c r="O5" s="119"/>
      <c r="P5" s="46">
        <v>3</v>
      </c>
      <c r="Q5" s="76" t="s">
        <v>2250</v>
      </c>
      <c r="R5" s="76" t="s">
        <v>2251</v>
      </c>
      <c r="U5" s="123"/>
      <c r="V5" s="123"/>
      <c r="W5" s="123"/>
      <c r="X5" s="123"/>
      <c r="Y5" s="123"/>
      <c r="Z5" s="123"/>
      <c r="AA5" s="123"/>
    </row>
    <row r="6" spans="1:27" ht="72.599999999999994">
      <c r="A6" s="7" t="s">
        <v>2252</v>
      </c>
      <c r="B6" s="7"/>
      <c r="C6" s="7"/>
      <c r="D6" s="7" t="s">
        <v>45</v>
      </c>
      <c r="E6" s="7" t="s">
        <v>2233</v>
      </c>
      <c r="F6" s="7" t="s">
        <v>2232</v>
      </c>
      <c r="G6" s="7"/>
      <c r="H6" s="7"/>
      <c r="I6" s="7" t="s">
        <v>98</v>
      </c>
      <c r="J6" s="7" t="s">
        <v>2253</v>
      </c>
      <c r="K6" s="7"/>
      <c r="L6" s="7" t="s">
        <v>942</v>
      </c>
      <c r="M6" s="7">
        <v>-1</v>
      </c>
      <c r="N6" s="46"/>
      <c r="O6" s="50" t="s">
        <v>2254</v>
      </c>
      <c r="P6" s="46">
        <v>4</v>
      </c>
      <c r="Q6" s="76" t="s">
        <v>2255</v>
      </c>
      <c r="R6" s="76" t="s">
        <v>2256</v>
      </c>
      <c r="U6" s="123"/>
      <c r="V6" s="123"/>
      <c r="W6" s="123"/>
      <c r="X6" s="123"/>
      <c r="Y6" s="123"/>
      <c r="Z6" s="123"/>
      <c r="AA6" s="123"/>
    </row>
    <row r="7" spans="1:27" ht="14.45">
      <c r="A7" s="7" t="s">
        <v>2257</v>
      </c>
      <c r="B7" s="7"/>
      <c r="C7" s="7"/>
      <c r="D7" s="7" t="s">
        <v>45</v>
      </c>
      <c r="E7" s="7" t="s">
        <v>2233</v>
      </c>
      <c r="F7" s="7" t="s">
        <v>1621</v>
      </c>
      <c r="G7" s="7" t="s">
        <v>351</v>
      </c>
      <c r="H7" s="7">
        <v>20</v>
      </c>
      <c r="I7" s="7" t="s">
        <v>74</v>
      </c>
      <c r="J7" s="7"/>
      <c r="K7" s="7"/>
      <c r="L7" s="7"/>
      <c r="M7" s="7">
        <v>-1</v>
      </c>
      <c r="N7" s="46"/>
      <c r="O7" s="7" t="s">
        <v>2258</v>
      </c>
      <c r="P7" s="46">
        <v>5</v>
      </c>
      <c r="Q7" s="76" t="s">
        <v>2259</v>
      </c>
      <c r="R7" s="76" t="s">
        <v>2260</v>
      </c>
      <c r="U7" s="123"/>
      <c r="V7" s="123"/>
      <c r="W7" s="123"/>
      <c r="X7" s="123"/>
      <c r="Y7" s="123"/>
      <c r="Z7" s="123"/>
      <c r="AA7" s="123"/>
    </row>
    <row r="8" spans="1:27" ht="14.45">
      <c r="A8" s="7" t="s">
        <v>2261</v>
      </c>
      <c r="B8" s="7"/>
      <c r="C8" s="7"/>
      <c r="D8" s="83" t="s">
        <v>45</v>
      </c>
      <c r="E8" s="83" t="s">
        <v>2233</v>
      </c>
      <c r="F8" s="83" t="s">
        <v>1</v>
      </c>
      <c r="G8" s="83" t="s">
        <v>351</v>
      </c>
      <c r="H8" s="83">
        <v>256</v>
      </c>
      <c r="I8" s="7" t="s">
        <v>98</v>
      </c>
      <c r="J8" s="121" t="s">
        <v>2262</v>
      </c>
      <c r="K8" s="7"/>
      <c r="L8" s="7"/>
      <c r="M8" s="7" t="s">
        <v>327</v>
      </c>
      <c r="N8" s="46"/>
      <c r="O8" s="37" t="s">
        <v>2263</v>
      </c>
      <c r="P8" s="46">
        <v>6</v>
      </c>
      <c r="Q8" s="76" t="s">
        <v>2264</v>
      </c>
      <c r="R8" s="76" t="s">
        <v>2265</v>
      </c>
      <c r="U8" s="123"/>
      <c r="V8" s="123"/>
      <c r="W8" s="123"/>
      <c r="X8" s="123"/>
      <c r="Y8" s="123"/>
      <c r="Z8" s="123"/>
      <c r="AA8" s="123"/>
    </row>
    <row r="9" spans="1:27" ht="29.1" hidden="1">
      <c r="A9" s="37" t="s">
        <v>2266</v>
      </c>
      <c r="B9" s="37"/>
      <c r="C9" s="37"/>
      <c r="D9" s="7" t="s">
        <v>12</v>
      </c>
      <c r="E9" s="7" t="s">
        <v>138</v>
      </c>
      <c r="F9" s="7" t="s">
        <v>2267</v>
      </c>
      <c r="G9" s="7" t="s">
        <v>351</v>
      </c>
      <c r="H9" s="7">
        <v>255</v>
      </c>
      <c r="I9" s="7" t="s">
        <v>74</v>
      </c>
      <c r="J9" s="7"/>
      <c r="K9" s="7"/>
      <c r="L9" s="7"/>
      <c r="M9" s="7" t="s">
        <v>327</v>
      </c>
      <c r="N9" s="46"/>
      <c r="O9" s="50" t="s">
        <v>2268</v>
      </c>
      <c r="P9" s="46">
        <v>7</v>
      </c>
      <c r="Q9" s="76" t="s">
        <v>2269</v>
      </c>
      <c r="R9" s="76" t="s">
        <v>2270</v>
      </c>
      <c r="U9" s="123"/>
      <c r="V9" s="123"/>
      <c r="W9" s="123"/>
      <c r="X9" s="123"/>
      <c r="Y9" s="123"/>
      <c r="Z9" s="123"/>
      <c r="AA9" s="123"/>
    </row>
    <row r="10" spans="1:27" ht="130.5">
      <c r="A10" s="83" t="s">
        <v>2271</v>
      </c>
      <c r="B10" s="83"/>
      <c r="C10" s="83"/>
      <c r="D10" s="83" t="s">
        <v>45</v>
      </c>
      <c r="E10" s="7" t="s">
        <v>2231</v>
      </c>
      <c r="F10" s="7" t="s">
        <v>2272</v>
      </c>
      <c r="G10" s="7"/>
      <c r="H10" s="7"/>
      <c r="I10" s="7" t="s">
        <v>74</v>
      </c>
      <c r="J10" s="50" t="s">
        <v>2273</v>
      </c>
      <c r="K10" s="7"/>
      <c r="L10" s="7"/>
      <c r="M10" s="7" t="s">
        <v>327</v>
      </c>
      <c r="N10" s="46"/>
      <c r="O10" s="7" t="s">
        <v>2274</v>
      </c>
      <c r="P10" s="46">
        <v>8</v>
      </c>
      <c r="Q10" s="76" t="s">
        <v>2275</v>
      </c>
      <c r="R10" s="76" t="s">
        <v>2276</v>
      </c>
      <c r="U10" s="123"/>
      <c r="V10" s="123"/>
      <c r="W10" s="123"/>
      <c r="X10" s="123"/>
      <c r="Y10" s="123"/>
      <c r="Z10" s="123"/>
      <c r="AA10" s="123"/>
    </row>
    <row r="11" spans="1:27" ht="14.45">
      <c r="A11" s="7" t="s">
        <v>2277</v>
      </c>
      <c r="B11" s="7"/>
      <c r="C11" s="7"/>
      <c r="D11" s="83" t="s">
        <v>45</v>
      </c>
      <c r="E11" s="83" t="s">
        <v>2233</v>
      </c>
      <c r="F11" s="7" t="s">
        <v>2278</v>
      </c>
      <c r="G11" s="7"/>
      <c r="H11" s="7"/>
      <c r="I11" s="7" t="s">
        <v>74</v>
      </c>
      <c r="J11" s="7" t="s">
        <v>2278</v>
      </c>
      <c r="K11" s="7"/>
      <c r="L11" s="7"/>
      <c r="M11" s="7" t="s">
        <v>368</v>
      </c>
      <c r="N11" s="46"/>
      <c r="O11" s="7"/>
      <c r="P11" s="46">
        <v>9</v>
      </c>
      <c r="Q11" s="76" t="s">
        <v>2279</v>
      </c>
      <c r="R11" s="76" t="s">
        <v>2280</v>
      </c>
      <c r="U11" s="123"/>
      <c r="V11" s="123"/>
      <c r="W11" s="123"/>
      <c r="X11" s="123"/>
      <c r="Y11" s="123"/>
      <c r="Z11" s="123"/>
      <c r="AA11" s="123"/>
    </row>
    <row r="12" spans="1:27" ht="14.45">
      <c r="A12" s="7" t="s">
        <v>2281</v>
      </c>
      <c r="B12" s="7"/>
      <c r="C12" s="7"/>
      <c r="D12" s="83" t="s">
        <v>45</v>
      </c>
      <c r="E12" s="83" t="s">
        <v>2233</v>
      </c>
      <c r="F12" s="7" t="s">
        <v>2282</v>
      </c>
      <c r="G12" s="7"/>
      <c r="H12" s="7"/>
      <c r="I12" s="7" t="s">
        <v>74</v>
      </c>
      <c r="J12" s="7" t="s">
        <v>2282</v>
      </c>
      <c r="K12" s="7"/>
      <c r="L12" s="7"/>
      <c r="M12" s="7" t="s">
        <v>368</v>
      </c>
      <c r="N12" s="46"/>
      <c r="O12" s="7"/>
      <c r="P12" s="46">
        <v>10</v>
      </c>
      <c r="Q12" s="76" t="s">
        <v>2283</v>
      </c>
      <c r="R12" s="76" t="s">
        <v>2284</v>
      </c>
      <c r="U12" s="123"/>
      <c r="V12" s="123"/>
      <c r="W12" s="123"/>
      <c r="X12" s="123"/>
      <c r="Y12" s="123"/>
      <c r="Z12" s="123"/>
      <c r="AA12" s="123"/>
    </row>
    <row r="13" spans="1:27" ht="43.5">
      <c r="A13" s="37" t="s">
        <v>2285</v>
      </c>
      <c r="B13" s="37"/>
      <c r="C13" s="37"/>
      <c r="D13" s="83" t="s">
        <v>45</v>
      </c>
      <c r="E13" s="83" t="s">
        <v>2233</v>
      </c>
      <c r="F13" s="83" t="s">
        <v>2235</v>
      </c>
      <c r="G13" s="7"/>
      <c r="H13" s="7"/>
      <c r="I13" s="7" t="s">
        <v>74</v>
      </c>
      <c r="J13" s="7" t="s">
        <v>2286</v>
      </c>
      <c r="K13" s="7"/>
      <c r="L13" s="7"/>
      <c r="M13" s="7" t="s">
        <v>327</v>
      </c>
      <c r="N13" s="46"/>
      <c r="O13" s="50" t="s">
        <v>2287</v>
      </c>
      <c r="P13" s="46">
        <v>11</v>
      </c>
      <c r="Q13" s="76" t="s">
        <v>2288</v>
      </c>
      <c r="R13" s="76" t="s">
        <v>2289</v>
      </c>
      <c r="U13" s="123"/>
      <c r="V13" s="123"/>
      <c r="W13" s="123"/>
      <c r="X13" s="123"/>
      <c r="Y13" s="123"/>
      <c r="Z13" s="123"/>
      <c r="AA13" s="123"/>
    </row>
    <row r="14" spans="1:27" ht="43.5">
      <c r="A14" s="37" t="s">
        <v>2290</v>
      </c>
      <c r="B14" s="37"/>
      <c r="C14" s="37"/>
      <c r="D14" s="83" t="s">
        <v>45</v>
      </c>
      <c r="E14" s="83" t="s">
        <v>2233</v>
      </c>
      <c r="F14" s="83" t="s">
        <v>2235</v>
      </c>
      <c r="G14" s="7"/>
      <c r="H14" s="7"/>
      <c r="I14" s="7" t="s">
        <v>74</v>
      </c>
      <c r="J14" s="7" t="s">
        <v>2291</v>
      </c>
      <c r="K14" s="7"/>
      <c r="L14" s="7"/>
      <c r="M14" s="7" t="s">
        <v>327</v>
      </c>
      <c r="N14" s="46"/>
      <c r="O14" s="50" t="s">
        <v>2292</v>
      </c>
      <c r="P14" s="46">
        <v>12</v>
      </c>
      <c r="Q14" s="76" t="s">
        <v>2293</v>
      </c>
      <c r="R14" s="76" t="s">
        <v>2294</v>
      </c>
      <c r="U14" s="123"/>
      <c r="V14" s="123"/>
      <c r="W14" s="123"/>
      <c r="X14" s="123"/>
      <c r="Y14" s="123"/>
      <c r="Z14" s="123"/>
      <c r="AA14" s="123"/>
    </row>
    <row r="15" spans="1:27" ht="14.45">
      <c r="A15" s="122" t="s">
        <v>2295</v>
      </c>
      <c r="B15" s="122"/>
      <c r="C15" s="122"/>
      <c r="D15" s="83" t="s">
        <v>45</v>
      </c>
      <c r="E15" s="83" t="s">
        <v>2233</v>
      </c>
      <c r="F15" s="83" t="s">
        <v>1</v>
      </c>
      <c r="G15" s="83" t="s">
        <v>351</v>
      </c>
      <c r="H15" s="83">
        <v>256</v>
      </c>
      <c r="I15" s="83" t="s">
        <v>98</v>
      </c>
      <c r="J15" s="87" t="s">
        <v>2262</v>
      </c>
      <c r="K15" s="83"/>
      <c r="L15" s="83"/>
      <c r="M15" s="83" t="s">
        <v>327</v>
      </c>
      <c r="N15" s="46"/>
      <c r="O15" s="37" t="s">
        <v>2296</v>
      </c>
      <c r="P15" s="46">
        <v>13</v>
      </c>
      <c r="Q15" s="76" t="s">
        <v>2297</v>
      </c>
      <c r="R15" s="79" t="s">
        <v>2298</v>
      </c>
      <c r="U15" s="123"/>
      <c r="V15" s="123"/>
      <c r="W15" s="123"/>
      <c r="X15" s="123"/>
      <c r="Y15" s="123"/>
      <c r="Z15" s="123"/>
      <c r="AA15" s="123"/>
    </row>
    <row r="16" spans="1:27" ht="14.45">
      <c r="A16" s="37" t="s">
        <v>2299</v>
      </c>
      <c r="B16" s="37"/>
      <c r="C16" s="37"/>
      <c r="D16" s="83" t="s">
        <v>45</v>
      </c>
      <c r="E16" s="83" t="s">
        <v>2233</v>
      </c>
      <c r="F16" s="83" t="s">
        <v>2235</v>
      </c>
      <c r="G16" s="83" t="s">
        <v>2300</v>
      </c>
      <c r="H16" s="83"/>
      <c r="I16" s="83" t="s">
        <v>74</v>
      </c>
      <c r="J16" s="87" t="s">
        <v>2236</v>
      </c>
      <c r="K16" s="83"/>
      <c r="L16" s="83"/>
      <c r="M16" s="83" t="s">
        <v>327</v>
      </c>
      <c r="N16" s="46"/>
      <c r="O16" s="7" t="s">
        <v>2301</v>
      </c>
      <c r="P16" s="46"/>
      <c r="Q16" s="76"/>
      <c r="R16" s="79"/>
      <c r="U16" s="123"/>
      <c r="V16" s="123"/>
      <c r="W16" s="123"/>
      <c r="X16" s="123"/>
      <c r="Y16" s="123"/>
      <c r="Z16" s="123"/>
      <c r="AA16" s="123"/>
    </row>
    <row r="17" spans="1:27" ht="57.95">
      <c r="A17" s="83" t="s">
        <v>2302</v>
      </c>
      <c r="B17" s="83"/>
      <c r="C17" s="83"/>
      <c r="D17" s="83" t="s">
        <v>45</v>
      </c>
      <c r="E17" s="83" t="s">
        <v>2303</v>
      </c>
      <c r="F17" s="83" t="s">
        <v>1</v>
      </c>
      <c r="G17" s="83" t="s">
        <v>351</v>
      </c>
      <c r="H17" s="83">
        <v>256</v>
      </c>
      <c r="I17" s="83" t="s">
        <v>74</v>
      </c>
      <c r="J17" s="87" t="s">
        <v>2304</v>
      </c>
      <c r="K17" s="83"/>
      <c r="L17" s="83"/>
      <c r="M17" s="83" t="s">
        <v>327</v>
      </c>
      <c r="N17" s="46"/>
      <c r="O17" s="7"/>
      <c r="P17" s="46"/>
      <c r="Q17" s="76"/>
      <c r="R17" s="79"/>
      <c r="U17" s="123"/>
      <c r="V17" s="123"/>
      <c r="W17" s="123"/>
      <c r="X17" s="123"/>
      <c r="Y17" s="123"/>
      <c r="Z17" s="123"/>
      <c r="AA17" s="123"/>
    </row>
    <row r="18" spans="1:27" ht="14.45">
      <c r="A18" s="7" t="s">
        <v>2305</v>
      </c>
      <c r="B18" s="7"/>
      <c r="C18" s="7"/>
      <c r="D18" s="83" t="s">
        <v>45</v>
      </c>
      <c r="E18" s="83" t="s">
        <v>2233</v>
      </c>
      <c r="F18" s="83" t="s">
        <v>2235</v>
      </c>
      <c r="G18" s="7"/>
      <c r="H18" s="7"/>
      <c r="I18" s="7" t="s">
        <v>74</v>
      </c>
      <c r="J18" s="87" t="s">
        <v>2306</v>
      </c>
      <c r="K18" s="7"/>
      <c r="L18" s="7"/>
      <c r="M18" s="7" t="s">
        <v>327</v>
      </c>
      <c r="N18" s="46"/>
      <c r="O18" s="7"/>
      <c r="P18" s="46">
        <v>14</v>
      </c>
      <c r="Q18" s="76" t="s">
        <v>2307</v>
      </c>
      <c r="R18" s="76" t="s">
        <v>2308</v>
      </c>
      <c r="U18" s="123"/>
      <c r="V18" s="123"/>
      <c r="W18" s="123"/>
      <c r="X18" s="123"/>
      <c r="Y18" s="123"/>
      <c r="Z18" s="123"/>
      <c r="AA18" s="123"/>
    </row>
    <row r="19" spans="1:27" ht="14.45" hidden="1">
      <c r="A19" s="37" t="s">
        <v>2309</v>
      </c>
      <c r="B19" s="37"/>
      <c r="C19" s="37"/>
      <c r="D19" s="7" t="s">
        <v>40</v>
      </c>
      <c r="E19" s="7" t="s">
        <v>2310</v>
      </c>
      <c r="F19" s="7" t="s">
        <v>2311</v>
      </c>
      <c r="G19" s="7" t="s">
        <v>351</v>
      </c>
      <c r="H19" s="7">
        <v>10</v>
      </c>
      <c r="I19" s="7" t="s">
        <v>74</v>
      </c>
      <c r="J19" s="7" t="s">
        <v>2312</v>
      </c>
      <c r="K19" s="7"/>
      <c r="L19" s="7"/>
      <c r="M19" s="7" t="s">
        <v>327</v>
      </c>
      <c r="N19" s="46"/>
      <c r="O19" s="7" t="s">
        <v>2313</v>
      </c>
      <c r="P19" s="46">
        <v>15</v>
      </c>
      <c r="Q19" s="76" t="s">
        <v>2314</v>
      </c>
      <c r="R19" s="76" t="s">
        <v>2315</v>
      </c>
      <c r="U19" s="123"/>
      <c r="V19" s="123"/>
      <c r="W19" s="123"/>
      <c r="X19" s="123"/>
      <c r="Y19" s="123"/>
      <c r="Z19" s="123"/>
      <c r="AA19" s="123"/>
    </row>
    <row r="20" spans="1:27" ht="43.5" hidden="1">
      <c r="A20" s="37" t="s">
        <v>2316</v>
      </c>
      <c r="B20" s="37"/>
      <c r="C20" s="37"/>
      <c r="D20" s="7"/>
      <c r="E20" s="7"/>
      <c r="F20" s="7"/>
      <c r="G20" s="7"/>
      <c r="H20" s="7">
        <v>4</v>
      </c>
      <c r="I20" s="7" t="s">
        <v>74</v>
      </c>
      <c r="J20" s="50" t="s">
        <v>2317</v>
      </c>
      <c r="K20" s="7"/>
      <c r="L20" s="7"/>
      <c r="M20" s="7" t="s">
        <v>327</v>
      </c>
      <c r="N20" s="46"/>
      <c r="O20" s="50" t="s">
        <v>2318</v>
      </c>
      <c r="P20" s="46">
        <v>16</v>
      </c>
      <c r="Q20" s="76" t="s">
        <v>2319</v>
      </c>
      <c r="R20" s="76" t="s">
        <v>2320</v>
      </c>
      <c r="U20" s="123"/>
      <c r="V20" s="123"/>
      <c r="W20" s="123"/>
      <c r="X20" s="123"/>
      <c r="Y20" s="123"/>
      <c r="Z20" s="123"/>
      <c r="AA20" s="123"/>
    </row>
    <row r="21" spans="1:27" ht="14.45" hidden="1">
      <c r="A21" s="118" t="s">
        <v>408</v>
      </c>
      <c r="B21" s="118"/>
      <c r="C21" s="118"/>
      <c r="D21" s="22" t="s">
        <v>66</v>
      </c>
      <c r="E21" s="22" t="s">
        <v>407</v>
      </c>
      <c r="F21" s="22" t="s">
        <v>408</v>
      </c>
      <c r="G21" s="22" t="s">
        <v>319</v>
      </c>
      <c r="H21" s="22"/>
      <c r="I21" s="22" t="s">
        <v>74</v>
      </c>
      <c r="J21" s="22" t="s">
        <v>2321</v>
      </c>
      <c r="K21" s="22"/>
      <c r="L21" s="22"/>
      <c r="M21" s="22">
        <v>-1</v>
      </c>
      <c r="N21" s="46"/>
      <c r="O21" s="83" t="s">
        <v>2322</v>
      </c>
      <c r="P21" s="46">
        <v>17</v>
      </c>
      <c r="Q21" s="76" t="s">
        <v>2323</v>
      </c>
      <c r="R21" s="76" t="s">
        <v>2324</v>
      </c>
      <c r="U21" s="123"/>
      <c r="V21" s="123"/>
      <c r="W21" s="123"/>
      <c r="X21" s="123"/>
      <c r="Y21" s="123"/>
      <c r="Z21" s="123"/>
      <c r="AA21" s="123"/>
    </row>
    <row r="22" spans="1:27" ht="14.45" hidden="1">
      <c r="A22" s="37" t="s">
        <v>2325</v>
      </c>
      <c r="B22" s="37"/>
      <c r="C22" s="37"/>
      <c r="D22" s="7" t="s">
        <v>40</v>
      </c>
      <c r="E22" s="7" t="s">
        <v>2310</v>
      </c>
      <c r="F22" s="7" t="s">
        <v>2326</v>
      </c>
      <c r="G22" s="7" t="s">
        <v>351</v>
      </c>
      <c r="H22" s="7">
        <v>15</v>
      </c>
      <c r="I22" s="7" t="s">
        <v>74</v>
      </c>
      <c r="J22" s="7"/>
      <c r="K22" s="7"/>
      <c r="L22" s="7"/>
      <c r="M22" s="7" t="s">
        <v>327</v>
      </c>
      <c r="N22" s="46"/>
      <c r="O22" s="7" t="s">
        <v>2327</v>
      </c>
      <c r="P22" s="46">
        <v>18</v>
      </c>
      <c r="Q22" s="76" t="s">
        <v>2328</v>
      </c>
      <c r="R22" s="76" t="s">
        <v>2329</v>
      </c>
      <c r="U22" s="123"/>
      <c r="V22" s="123"/>
      <c r="W22" s="123"/>
      <c r="X22" s="123"/>
      <c r="Y22" s="123"/>
      <c r="Z22" s="123"/>
      <c r="AA22" s="123"/>
    </row>
    <row r="23" spans="1:27" ht="14.45">
      <c r="A23" s="83" t="s">
        <v>2330</v>
      </c>
      <c r="B23" s="83"/>
      <c r="C23" s="83"/>
      <c r="D23" s="83" t="s">
        <v>45</v>
      </c>
      <c r="E23" s="83" t="s">
        <v>2233</v>
      </c>
      <c r="F23" s="83" t="s">
        <v>2235</v>
      </c>
      <c r="G23" s="7"/>
      <c r="H23" s="7"/>
      <c r="I23" s="7" t="s">
        <v>74</v>
      </c>
      <c r="J23" s="87" t="s">
        <v>2331</v>
      </c>
      <c r="K23" s="7"/>
      <c r="L23" s="7"/>
      <c r="M23" s="7" t="s">
        <v>327</v>
      </c>
      <c r="N23" s="46"/>
      <c r="O23" s="7"/>
      <c r="P23" s="46">
        <v>19</v>
      </c>
      <c r="Q23" s="76" t="s">
        <v>2332</v>
      </c>
      <c r="R23" s="76" t="s">
        <v>2333</v>
      </c>
      <c r="U23" s="123"/>
      <c r="V23" s="123"/>
      <c r="W23" s="123"/>
      <c r="X23" s="123"/>
      <c r="Y23" s="123"/>
      <c r="Z23" s="123"/>
      <c r="AA23" s="123"/>
    </row>
    <row r="24" spans="1:27" ht="14.45" hidden="1">
      <c r="A24" s="37" t="s">
        <v>2334</v>
      </c>
      <c r="B24" s="37"/>
      <c r="C24" s="37"/>
      <c r="D24" s="7" t="s">
        <v>40</v>
      </c>
      <c r="E24" s="7" t="s">
        <v>2310</v>
      </c>
      <c r="F24" s="7" t="s">
        <v>2335</v>
      </c>
      <c r="G24" s="7" t="s">
        <v>351</v>
      </c>
      <c r="H24" s="7">
        <v>11</v>
      </c>
      <c r="I24" s="7" t="s">
        <v>74</v>
      </c>
      <c r="J24" s="7"/>
      <c r="K24" s="7"/>
      <c r="L24" s="7"/>
      <c r="M24" s="7" t="s">
        <v>327</v>
      </c>
      <c r="N24" s="46"/>
      <c r="O24" s="7" t="s">
        <v>2336</v>
      </c>
      <c r="P24" s="46">
        <v>20</v>
      </c>
      <c r="Q24" s="76" t="s">
        <v>2337</v>
      </c>
      <c r="R24" s="76" t="s">
        <v>2338</v>
      </c>
      <c r="U24" s="123"/>
      <c r="V24" s="123"/>
      <c r="W24" s="123"/>
      <c r="X24" s="123"/>
      <c r="Y24" s="123"/>
      <c r="Z24" s="123"/>
      <c r="AA24" s="123"/>
    </row>
    <row r="25" spans="1:27" ht="29.1">
      <c r="A25" s="37" t="s">
        <v>2339</v>
      </c>
      <c r="B25" s="37"/>
      <c r="C25" s="37"/>
      <c r="D25" s="83" t="s">
        <v>45</v>
      </c>
      <c r="E25" s="83" t="s">
        <v>2233</v>
      </c>
      <c r="F25" s="83" t="s">
        <v>2235</v>
      </c>
      <c r="G25" s="7"/>
      <c r="H25" s="7"/>
      <c r="I25" s="7" t="s">
        <v>74</v>
      </c>
      <c r="J25" s="87" t="s">
        <v>2340</v>
      </c>
      <c r="K25" s="7"/>
      <c r="L25" s="7"/>
      <c r="M25" s="7" t="s">
        <v>327</v>
      </c>
      <c r="N25" s="46"/>
      <c r="O25" s="50" t="s">
        <v>2341</v>
      </c>
      <c r="P25" s="46">
        <v>21</v>
      </c>
      <c r="Q25" s="76" t="s">
        <v>2342</v>
      </c>
      <c r="R25" s="76" t="s">
        <v>2343</v>
      </c>
      <c r="U25" s="123"/>
      <c r="V25" s="123"/>
      <c r="W25" s="123"/>
      <c r="X25" s="123"/>
      <c r="Y25" s="123"/>
      <c r="Z25" s="123"/>
      <c r="AA25" s="123"/>
    </row>
    <row r="26" spans="1:27" ht="14.45" hidden="1">
      <c r="A26" s="37" t="s">
        <v>2344</v>
      </c>
      <c r="B26" s="37"/>
      <c r="C26" s="37"/>
      <c r="D26" s="7" t="s">
        <v>40</v>
      </c>
      <c r="E26" s="7" t="s">
        <v>2310</v>
      </c>
      <c r="F26" s="7" t="s">
        <v>2345</v>
      </c>
      <c r="G26" s="7" t="s">
        <v>367</v>
      </c>
      <c r="H26" s="7"/>
      <c r="I26" s="7" t="s">
        <v>74</v>
      </c>
      <c r="J26" s="7"/>
      <c r="K26" s="7"/>
      <c r="L26" s="7"/>
      <c r="M26" s="7" t="s">
        <v>368</v>
      </c>
      <c r="N26" s="46"/>
      <c r="O26" s="7" t="s">
        <v>2346</v>
      </c>
      <c r="P26" s="46">
        <v>22</v>
      </c>
      <c r="Q26" s="76" t="s">
        <v>2347</v>
      </c>
      <c r="R26" s="76" t="s">
        <v>2348</v>
      </c>
      <c r="U26" s="123"/>
      <c r="V26" s="123"/>
      <c r="W26" s="123"/>
      <c r="X26" s="123"/>
      <c r="Y26" s="123"/>
      <c r="Z26" s="123"/>
      <c r="AA26" s="123"/>
    </row>
    <row r="27" spans="1:27" ht="14.45">
      <c r="A27" s="7" t="s">
        <v>2349</v>
      </c>
      <c r="B27" s="7"/>
      <c r="C27" s="7"/>
      <c r="D27" s="7" t="s">
        <v>45</v>
      </c>
      <c r="E27" s="7" t="s">
        <v>273</v>
      </c>
      <c r="F27" s="7" t="s">
        <v>2350</v>
      </c>
      <c r="G27" s="7"/>
      <c r="H27" s="7"/>
      <c r="I27" s="7" t="s">
        <v>74</v>
      </c>
      <c r="J27" s="50" t="s">
        <v>2351</v>
      </c>
      <c r="K27" s="7"/>
      <c r="L27" s="7"/>
      <c r="M27" s="7" t="s">
        <v>327</v>
      </c>
      <c r="N27" s="46"/>
      <c r="O27" s="7"/>
      <c r="P27" s="46">
        <v>23</v>
      </c>
      <c r="Q27" s="76" t="s">
        <v>2352</v>
      </c>
      <c r="R27" s="76" t="s">
        <v>2353</v>
      </c>
      <c r="U27" s="123"/>
      <c r="V27" s="123"/>
      <c r="W27" s="123"/>
      <c r="X27" s="123"/>
      <c r="Y27" s="123"/>
      <c r="Z27" s="123"/>
      <c r="AA27" s="123"/>
    </row>
    <row r="28" spans="1:27" ht="51.6" customHeight="1">
      <c r="A28" s="37" t="s">
        <v>2354</v>
      </c>
      <c r="B28" s="7"/>
      <c r="C28" s="7"/>
      <c r="D28" s="7" t="s">
        <v>45</v>
      </c>
      <c r="E28" s="7" t="s">
        <v>273</v>
      </c>
      <c r="F28" s="83" t="s">
        <v>2235</v>
      </c>
      <c r="G28" s="7"/>
      <c r="H28" s="7"/>
      <c r="I28" s="7" t="s">
        <v>74</v>
      </c>
      <c r="J28" s="82" t="s">
        <v>2355</v>
      </c>
      <c r="K28" s="7"/>
      <c r="L28" s="7"/>
      <c r="M28" s="7" t="s">
        <v>327</v>
      </c>
      <c r="N28" s="46"/>
      <c r="O28" s="7"/>
      <c r="P28" s="46">
        <v>24</v>
      </c>
      <c r="Q28" s="76" t="s">
        <v>2356</v>
      </c>
      <c r="R28" s="76" t="s">
        <v>2357</v>
      </c>
      <c r="U28" s="123"/>
      <c r="V28" s="123"/>
      <c r="W28" s="123"/>
      <c r="X28" s="123"/>
      <c r="Y28" s="123"/>
      <c r="Z28" s="123"/>
      <c r="AA28" s="123"/>
    </row>
    <row r="29" spans="1:27" ht="78" hidden="1" customHeight="1">
      <c r="A29" s="37" t="s">
        <v>2358</v>
      </c>
      <c r="B29" s="37"/>
      <c r="C29" s="37"/>
      <c r="D29" s="7" t="s">
        <v>12</v>
      </c>
      <c r="E29" s="7" t="s">
        <v>138</v>
      </c>
      <c r="F29" s="7" t="s">
        <v>10</v>
      </c>
      <c r="G29" s="7" t="s">
        <v>351</v>
      </c>
      <c r="H29" s="7">
        <v>-1</v>
      </c>
      <c r="I29" s="7" t="s">
        <v>74</v>
      </c>
      <c r="J29" s="50" t="s">
        <v>2359</v>
      </c>
      <c r="K29" s="7"/>
      <c r="L29" s="7"/>
      <c r="M29" s="7" t="s">
        <v>327</v>
      </c>
      <c r="N29" s="46"/>
      <c r="O29" s="50" t="s">
        <v>2360</v>
      </c>
      <c r="P29" s="46">
        <v>25</v>
      </c>
      <c r="Q29" s="76" t="s">
        <v>2361</v>
      </c>
      <c r="R29" s="76" t="s">
        <v>2362</v>
      </c>
      <c r="U29" s="123"/>
      <c r="V29" s="123"/>
      <c r="W29" s="123"/>
      <c r="X29" s="123"/>
      <c r="Y29" s="123"/>
      <c r="Z29" s="123"/>
      <c r="AA29" s="123"/>
    </row>
    <row r="30" spans="1:27" ht="64.5" hidden="1" customHeight="1">
      <c r="A30" s="37" t="s">
        <v>2363</v>
      </c>
      <c r="B30" s="37"/>
      <c r="C30" s="37"/>
      <c r="D30" s="7" t="s">
        <v>12</v>
      </c>
      <c r="E30" s="7" t="s">
        <v>138</v>
      </c>
      <c r="F30" s="7" t="s">
        <v>2364</v>
      </c>
      <c r="G30" s="7" t="s">
        <v>351</v>
      </c>
      <c r="H30" s="7">
        <v>50</v>
      </c>
      <c r="I30" s="7" t="s">
        <v>74</v>
      </c>
      <c r="J30" s="7"/>
      <c r="K30" s="7"/>
      <c r="L30" s="7"/>
      <c r="M30" s="7" t="s">
        <v>327</v>
      </c>
      <c r="N30" s="46"/>
      <c r="O30" s="50" t="s">
        <v>2365</v>
      </c>
      <c r="P30" s="46">
        <v>26</v>
      </c>
      <c r="Q30" s="76" t="s">
        <v>2366</v>
      </c>
      <c r="R30" s="76" t="s">
        <v>2367</v>
      </c>
      <c r="U30" s="123"/>
      <c r="V30" s="123"/>
      <c r="W30" s="123"/>
      <c r="X30" s="123"/>
      <c r="Y30" s="123"/>
      <c r="Z30" s="123"/>
      <c r="AA30" s="123"/>
    </row>
    <row r="31" spans="1:27" s="154" customFormat="1" ht="43.5">
      <c r="A31" s="150" t="s">
        <v>2368</v>
      </c>
      <c r="B31" s="150"/>
      <c r="C31" s="150"/>
      <c r="D31" s="150" t="s">
        <v>45</v>
      </c>
      <c r="E31" s="150" t="s">
        <v>2233</v>
      </c>
      <c r="F31" s="151" t="s">
        <v>2235</v>
      </c>
      <c r="G31" s="150"/>
      <c r="H31" s="150"/>
      <c r="I31" s="150" t="s">
        <v>74</v>
      </c>
      <c r="J31" s="150" t="s">
        <v>2369</v>
      </c>
      <c r="K31" s="150"/>
      <c r="L31" s="150"/>
      <c r="M31" s="150" t="s">
        <v>327</v>
      </c>
      <c r="N31" s="152"/>
      <c r="O31" s="159" t="s">
        <v>2370</v>
      </c>
      <c r="P31" s="152">
        <v>27</v>
      </c>
      <c r="Q31" s="153" t="s">
        <v>2371</v>
      </c>
      <c r="R31" s="153" t="s">
        <v>2372</v>
      </c>
      <c r="S31" s="159" t="s">
        <v>2373</v>
      </c>
      <c r="U31" s="155"/>
      <c r="V31" s="155"/>
      <c r="W31" s="155"/>
      <c r="X31" s="155"/>
      <c r="Y31" s="155"/>
      <c r="Z31" s="155"/>
      <c r="AA31" s="155"/>
    </row>
    <row r="32" spans="1:27" s="154" customFormat="1" ht="87">
      <c r="A32" s="150" t="s">
        <v>2374</v>
      </c>
      <c r="B32" s="150"/>
      <c r="C32" s="150"/>
      <c r="D32" s="150" t="s">
        <v>45</v>
      </c>
      <c r="E32" s="150" t="s">
        <v>2233</v>
      </c>
      <c r="F32" s="151" t="s">
        <v>2235</v>
      </c>
      <c r="G32" s="150" t="s">
        <v>346</v>
      </c>
      <c r="H32" s="150"/>
      <c r="I32" s="150" t="s">
        <v>98</v>
      </c>
      <c r="J32" s="150" t="s">
        <v>2291</v>
      </c>
      <c r="K32" s="150"/>
      <c r="L32" s="150"/>
      <c r="M32" s="150" t="s">
        <v>327</v>
      </c>
      <c r="N32" s="152"/>
      <c r="O32" s="150"/>
      <c r="P32" s="152">
        <v>28</v>
      </c>
      <c r="Q32" s="153" t="s">
        <v>2375</v>
      </c>
      <c r="R32" s="153" t="s">
        <v>2376</v>
      </c>
      <c r="S32" s="156" t="s">
        <v>2377</v>
      </c>
      <c r="U32" s="155"/>
      <c r="V32" s="155"/>
      <c r="W32" s="155"/>
      <c r="X32" s="155"/>
      <c r="Y32" s="155"/>
      <c r="Z32" s="155"/>
      <c r="AA32" s="155"/>
    </row>
    <row r="33" spans="1:27" ht="32.25" hidden="1" customHeight="1">
      <c r="A33" s="22" t="s">
        <v>425</v>
      </c>
      <c r="B33" s="22"/>
      <c r="C33" s="22"/>
      <c r="D33" s="22" t="s">
        <v>66</v>
      </c>
      <c r="E33" s="22" t="s">
        <v>140</v>
      </c>
      <c r="F33" s="22" t="s">
        <v>425</v>
      </c>
      <c r="G33" s="22" t="s">
        <v>319</v>
      </c>
      <c r="H33" s="22"/>
      <c r="I33" s="22" t="s">
        <v>74</v>
      </c>
      <c r="J33" s="26" t="s">
        <v>2378</v>
      </c>
      <c r="K33" s="22"/>
      <c r="L33" s="22"/>
      <c r="M33" s="22">
        <v>-1</v>
      </c>
      <c r="N33" s="46"/>
      <c r="O33" s="7" t="s">
        <v>2379</v>
      </c>
      <c r="P33" s="46">
        <v>29</v>
      </c>
      <c r="Q33" s="76" t="s">
        <v>2380</v>
      </c>
      <c r="R33" s="76" t="s">
        <v>2381</v>
      </c>
      <c r="U33" s="123"/>
      <c r="V33" s="123"/>
      <c r="W33" s="123"/>
      <c r="X33" s="123"/>
      <c r="Y33" s="123"/>
      <c r="Z33" s="123"/>
      <c r="AA33" s="123"/>
    </row>
    <row r="34" spans="1:27" s="154" customFormat="1" ht="14.45">
      <c r="A34" s="157" t="s">
        <v>2382</v>
      </c>
      <c r="B34" s="157"/>
      <c r="C34" s="157"/>
      <c r="D34" s="150" t="s">
        <v>45</v>
      </c>
      <c r="E34" s="150" t="s">
        <v>2233</v>
      </c>
      <c r="F34" s="151" t="s">
        <v>2235</v>
      </c>
      <c r="G34" s="150" t="s">
        <v>346</v>
      </c>
      <c r="H34" s="150"/>
      <c r="I34" s="150" t="s">
        <v>98</v>
      </c>
      <c r="J34" s="150" t="s">
        <v>2383</v>
      </c>
      <c r="K34" s="150"/>
      <c r="L34" s="150"/>
      <c r="M34" s="150" t="s">
        <v>327</v>
      </c>
      <c r="N34" s="152"/>
      <c r="O34" s="150" t="s">
        <v>2384</v>
      </c>
      <c r="P34" s="152">
        <v>30</v>
      </c>
      <c r="Q34" s="158" t="s">
        <v>2385</v>
      </c>
      <c r="R34" s="153" t="s">
        <v>2386</v>
      </c>
      <c r="S34" s="154" t="s">
        <v>2387</v>
      </c>
      <c r="U34" s="155"/>
      <c r="V34" s="155"/>
      <c r="W34" s="155"/>
      <c r="X34" s="155"/>
      <c r="Y34" s="155"/>
      <c r="Z34" s="155"/>
      <c r="AA34" s="155"/>
    </row>
    <row r="35" spans="1:27" s="154" customFormat="1" ht="14.45">
      <c r="A35" s="150" t="s">
        <v>345</v>
      </c>
      <c r="B35" s="150"/>
      <c r="C35" s="150"/>
      <c r="D35" s="150" t="s">
        <v>45</v>
      </c>
      <c r="E35" s="151" t="s">
        <v>2303</v>
      </c>
      <c r="F35" s="150" t="s">
        <v>347</v>
      </c>
      <c r="G35" s="150" t="s">
        <v>346</v>
      </c>
      <c r="H35" s="150"/>
      <c r="I35" s="150" t="s">
        <v>98</v>
      </c>
      <c r="J35" s="160" t="s">
        <v>2388</v>
      </c>
      <c r="K35" s="150"/>
      <c r="L35" s="150" t="s">
        <v>2389</v>
      </c>
      <c r="M35" s="150" t="b">
        <v>0</v>
      </c>
      <c r="N35" s="152"/>
      <c r="O35" s="150" t="s">
        <v>2390</v>
      </c>
      <c r="P35" s="152">
        <v>31</v>
      </c>
      <c r="Q35" s="153" t="s">
        <v>2391</v>
      </c>
      <c r="R35" s="153" t="s">
        <v>2392</v>
      </c>
      <c r="S35" s="154" t="s">
        <v>2393</v>
      </c>
      <c r="U35" s="155"/>
      <c r="V35" s="155"/>
      <c r="W35" s="155"/>
      <c r="X35" s="155"/>
      <c r="Y35" s="155"/>
      <c r="Z35" s="155"/>
      <c r="AA35" s="155"/>
    </row>
    <row r="36" spans="1:27" ht="14.45">
      <c r="A36" s="7" t="s">
        <v>2394</v>
      </c>
      <c r="B36" s="7"/>
      <c r="C36" s="7"/>
      <c r="D36" s="7" t="s">
        <v>45</v>
      </c>
      <c r="E36" s="7" t="s">
        <v>2233</v>
      </c>
      <c r="F36" s="7" t="s">
        <v>2395</v>
      </c>
      <c r="G36" s="7"/>
      <c r="H36" s="7"/>
      <c r="I36" s="7" t="s">
        <v>74</v>
      </c>
      <c r="J36" s="7"/>
      <c r="K36" s="7"/>
      <c r="L36" s="7"/>
      <c r="M36" s="7" t="s">
        <v>368</v>
      </c>
      <c r="N36" s="46"/>
      <c r="O36" s="7"/>
      <c r="P36" s="46">
        <v>32</v>
      </c>
      <c r="Q36" s="76" t="s">
        <v>2396</v>
      </c>
      <c r="R36" s="76" t="s">
        <v>2397</v>
      </c>
      <c r="U36" s="123"/>
      <c r="V36" s="123"/>
      <c r="W36" s="123"/>
      <c r="X36" s="123"/>
      <c r="Y36" s="123"/>
      <c r="Z36" s="123"/>
      <c r="AA36" s="123"/>
    </row>
    <row r="37" spans="1:27" ht="46.5" customHeight="1">
      <c r="A37" s="7" t="s">
        <v>1590</v>
      </c>
      <c r="B37" s="7"/>
      <c r="C37" s="7"/>
      <c r="D37" s="7" t="s">
        <v>45</v>
      </c>
      <c r="E37" s="7" t="s">
        <v>2233</v>
      </c>
      <c r="F37" s="7" t="s">
        <v>2241</v>
      </c>
      <c r="G37" s="7"/>
      <c r="H37" s="7"/>
      <c r="I37" s="7" t="s">
        <v>98</v>
      </c>
      <c r="J37" s="7"/>
      <c r="K37" s="7"/>
      <c r="L37" s="7"/>
      <c r="M37" s="7" t="s">
        <v>368</v>
      </c>
      <c r="N37" s="46"/>
      <c r="O37" s="50"/>
      <c r="P37" s="46">
        <v>33</v>
      </c>
      <c r="Q37" s="76" t="s">
        <v>2398</v>
      </c>
      <c r="R37" s="76" t="s">
        <v>2399</v>
      </c>
      <c r="U37" s="123"/>
      <c r="V37" s="123"/>
      <c r="W37" s="123"/>
      <c r="X37" s="123"/>
      <c r="Y37" s="123"/>
      <c r="Z37" s="123"/>
      <c r="AA37" s="123"/>
    </row>
    <row r="38" spans="1:27" ht="14.45" hidden="1">
      <c r="A38" s="8" t="s">
        <v>350</v>
      </c>
      <c r="B38" s="8"/>
      <c r="C38" s="8"/>
      <c r="D38" s="8" t="s">
        <v>320</v>
      </c>
      <c r="E38" s="8"/>
      <c r="F38" s="8"/>
      <c r="G38" s="8" t="s">
        <v>351</v>
      </c>
      <c r="H38" s="8">
        <v>100</v>
      </c>
      <c r="I38" s="8" t="s">
        <v>98</v>
      </c>
      <c r="J38" s="8"/>
      <c r="K38" s="8"/>
      <c r="L38" s="8"/>
      <c r="M38" s="8" t="s">
        <v>327</v>
      </c>
      <c r="N38" s="46"/>
      <c r="O38" s="7"/>
      <c r="P38" s="46">
        <v>34</v>
      </c>
      <c r="Q38" s="88" t="s">
        <v>2400</v>
      </c>
      <c r="R38" t="s">
        <v>2401</v>
      </c>
      <c r="U38" s="123"/>
      <c r="V38" s="123"/>
      <c r="W38" s="123"/>
      <c r="X38" s="123"/>
      <c r="Y38" s="123"/>
      <c r="Z38" s="123"/>
      <c r="AA38" s="123"/>
    </row>
    <row r="39" spans="1:27" ht="14.45" hidden="1">
      <c r="A39" s="8" t="s">
        <v>354</v>
      </c>
      <c r="B39" s="8"/>
      <c r="C39" s="8"/>
      <c r="D39" s="8" t="s">
        <v>320</v>
      </c>
      <c r="E39" s="8"/>
      <c r="F39" s="8"/>
      <c r="G39" s="8" t="s">
        <v>351</v>
      </c>
      <c r="H39" s="8">
        <v>100</v>
      </c>
      <c r="I39" s="8" t="s">
        <v>98</v>
      </c>
      <c r="J39" s="8"/>
      <c r="K39" s="8"/>
      <c r="L39" s="8"/>
      <c r="M39" s="8" t="s">
        <v>327</v>
      </c>
      <c r="N39" s="46"/>
      <c r="O39" s="7"/>
      <c r="P39" s="46">
        <v>35</v>
      </c>
      <c r="Q39" s="88" t="s">
        <v>2402</v>
      </c>
      <c r="R39" t="s">
        <v>2403</v>
      </c>
      <c r="U39" s="123"/>
      <c r="V39" s="123"/>
      <c r="W39" s="123"/>
      <c r="X39" s="123"/>
      <c r="Y39" s="123"/>
      <c r="Z39" s="123"/>
      <c r="AA39" s="123"/>
    </row>
    <row r="40" spans="1:27" ht="14.45" hidden="1">
      <c r="A40" s="8" t="s">
        <v>357</v>
      </c>
      <c r="B40" s="8"/>
      <c r="C40" s="8"/>
      <c r="D40" s="8" t="s">
        <v>320</v>
      </c>
      <c r="E40" s="8"/>
      <c r="F40" s="8"/>
      <c r="G40" s="8" t="s">
        <v>351</v>
      </c>
      <c r="H40" s="8">
        <v>100</v>
      </c>
      <c r="I40" s="8" t="s">
        <v>98</v>
      </c>
      <c r="J40" s="8"/>
      <c r="K40" s="8"/>
      <c r="L40" s="8"/>
      <c r="M40" s="8" t="s">
        <v>327</v>
      </c>
      <c r="N40" s="46"/>
      <c r="O40" s="7"/>
      <c r="P40" s="46">
        <v>36</v>
      </c>
      <c r="Q40" s="88" t="s">
        <v>2404</v>
      </c>
      <c r="R40" t="s">
        <v>2405</v>
      </c>
      <c r="U40" s="123"/>
      <c r="V40" s="123"/>
      <c r="W40" s="123"/>
      <c r="X40" s="123"/>
      <c r="Y40" s="123"/>
      <c r="Z40" s="123"/>
      <c r="AA40" s="123"/>
    </row>
    <row r="41" spans="1:27" ht="14.45" hidden="1">
      <c r="A41" s="8" t="s">
        <v>360</v>
      </c>
      <c r="B41" s="8"/>
      <c r="C41" s="8"/>
      <c r="D41" s="8" t="s">
        <v>320</v>
      </c>
      <c r="E41" s="8"/>
      <c r="F41" s="8"/>
      <c r="G41" s="8" t="s">
        <v>351</v>
      </c>
      <c r="H41" s="8">
        <v>100</v>
      </c>
      <c r="I41" s="8" t="s">
        <v>98</v>
      </c>
      <c r="J41" s="8"/>
      <c r="K41" s="8"/>
      <c r="L41" s="8"/>
      <c r="M41" s="8" t="s">
        <v>327</v>
      </c>
      <c r="N41" s="46"/>
      <c r="O41" s="7"/>
      <c r="P41" s="46">
        <v>37</v>
      </c>
      <c r="Q41" s="88" t="s">
        <v>2406</v>
      </c>
      <c r="R41" t="s">
        <v>2407</v>
      </c>
      <c r="U41" s="123"/>
      <c r="V41" s="123"/>
      <c r="W41" s="123"/>
      <c r="X41" s="123"/>
      <c r="Y41" s="123"/>
      <c r="Z41" s="123"/>
      <c r="AA41" s="123"/>
    </row>
    <row r="42" spans="1:27" ht="14.45" hidden="1">
      <c r="A42" s="8" t="s">
        <v>363</v>
      </c>
      <c r="B42" s="8"/>
      <c r="C42" s="8"/>
      <c r="D42" s="8" t="s">
        <v>320</v>
      </c>
      <c r="E42" s="8"/>
      <c r="F42" s="8"/>
      <c r="G42" s="8" t="s">
        <v>351</v>
      </c>
      <c r="H42" s="8">
        <v>100</v>
      </c>
      <c r="I42" s="8" t="s">
        <v>98</v>
      </c>
      <c r="J42" s="8"/>
      <c r="K42" s="8"/>
      <c r="L42" s="8"/>
      <c r="M42" s="8" t="s">
        <v>327</v>
      </c>
      <c r="N42" s="46"/>
      <c r="O42" s="7"/>
      <c r="P42" s="46">
        <v>38</v>
      </c>
      <c r="Q42" s="88" t="s">
        <v>2408</v>
      </c>
      <c r="R42" t="s">
        <v>2409</v>
      </c>
      <c r="U42" s="125"/>
      <c r="V42" s="125"/>
      <c r="W42" s="125"/>
      <c r="X42" s="125"/>
      <c r="Y42" s="125"/>
      <c r="Z42" s="125"/>
      <c r="AA42" s="124"/>
    </row>
    <row r="43" spans="1:27" ht="14.45" hidden="1">
      <c r="A43" s="8" t="s">
        <v>366</v>
      </c>
      <c r="B43" s="8"/>
      <c r="C43" s="8"/>
      <c r="D43" s="8" t="s">
        <v>320</v>
      </c>
      <c r="E43" s="8"/>
      <c r="F43" s="8"/>
      <c r="G43" s="8" t="s">
        <v>367</v>
      </c>
      <c r="H43" s="8"/>
      <c r="I43" s="8" t="s">
        <v>98</v>
      </c>
      <c r="J43" s="8"/>
      <c r="K43" s="8"/>
      <c r="L43" s="8"/>
      <c r="M43" s="8" t="s">
        <v>368</v>
      </c>
      <c r="N43" s="46"/>
      <c r="O43" s="7"/>
      <c r="P43" s="46">
        <v>39</v>
      </c>
      <c r="Q43" s="88" t="s">
        <v>2410</v>
      </c>
      <c r="R43" t="s">
        <v>2411</v>
      </c>
    </row>
    <row r="44" spans="1:27" ht="14.45" hidden="1">
      <c r="A44" s="8" t="s">
        <v>371</v>
      </c>
      <c r="B44" s="8"/>
      <c r="C44" s="8"/>
      <c r="D44" s="8" t="s">
        <v>320</v>
      </c>
      <c r="E44" s="8"/>
      <c r="F44" s="8"/>
      <c r="G44" s="8" t="s">
        <v>367</v>
      </c>
      <c r="H44" s="8"/>
      <c r="I44" s="8" t="s">
        <v>98</v>
      </c>
      <c r="J44" s="8"/>
      <c r="K44" s="8"/>
      <c r="L44" s="8"/>
      <c r="M44" s="8" t="s">
        <v>368</v>
      </c>
      <c r="N44" s="46"/>
      <c r="O44" s="7"/>
      <c r="P44" s="46">
        <v>40</v>
      </c>
      <c r="Q44" s="88" t="s">
        <v>2412</v>
      </c>
      <c r="R44" t="s">
        <v>2413</v>
      </c>
    </row>
    <row r="45" spans="1:27" ht="14.45" hidden="1">
      <c r="A45" s="8" t="s">
        <v>374</v>
      </c>
      <c r="B45" s="8"/>
      <c r="C45" s="8"/>
      <c r="D45" s="8" t="s">
        <v>320</v>
      </c>
      <c r="E45" s="8"/>
      <c r="F45" s="8"/>
      <c r="G45" s="8" t="s">
        <v>351</v>
      </c>
      <c r="H45" s="8">
        <v>100</v>
      </c>
      <c r="I45" s="8" t="s">
        <v>98</v>
      </c>
      <c r="J45" s="8"/>
      <c r="K45" s="8"/>
      <c r="L45" s="8"/>
      <c r="M45" s="8" t="s">
        <v>327</v>
      </c>
      <c r="N45" s="46"/>
      <c r="O45" s="7"/>
      <c r="P45" s="46">
        <v>41</v>
      </c>
      <c r="Q45" s="88" t="s">
        <v>2414</v>
      </c>
      <c r="R45" t="s">
        <v>2415</v>
      </c>
    </row>
    <row r="48" spans="1:27" ht="14.45">
      <c r="A48" s="21"/>
      <c r="B48" s="21"/>
      <c r="C48" s="21"/>
    </row>
    <row r="49" spans="1:3" ht="14.45">
      <c r="A49" s="21" t="s">
        <v>1032</v>
      </c>
      <c r="B49" s="21"/>
      <c r="C49" s="21"/>
    </row>
    <row r="50" spans="1:3" ht="14.45">
      <c r="A50" s="35" t="s">
        <v>2416</v>
      </c>
      <c r="B50" s="35"/>
      <c r="C50" s="35"/>
    </row>
    <row r="51" spans="1:3" ht="14.45">
      <c r="A51" s="35" t="s">
        <v>2417</v>
      </c>
      <c r="B51" s="35"/>
      <c r="C51" s="35"/>
    </row>
    <row r="52" spans="1:3" ht="14.45">
      <c r="A52" s="35" t="s">
        <v>2418</v>
      </c>
      <c r="B52" s="35"/>
      <c r="C52" s="35"/>
    </row>
    <row r="53" spans="1:3" ht="14.45">
      <c r="A53" s="120" t="s">
        <v>2419</v>
      </c>
      <c r="B53" s="120"/>
      <c r="C53" s="120"/>
    </row>
    <row r="54" spans="1:3" ht="14.45">
      <c r="A54" s="88" t="s">
        <v>2420</v>
      </c>
      <c r="B54" s="88"/>
      <c r="C54" s="88"/>
    </row>
    <row r="55" spans="1:3" ht="14.45">
      <c r="A55" t="s">
        <v>2421</v>
      </c>
    </row>
    <row r="57" spans="1:3" ht="14.45">
      <c r="A57" s="21" t="s">
        <v>1698</v>
      </c>
      <c r="B57" s="21"/>
      <c r="C57" s="21"/>
    </row>
    <row r="58" spans="1:3" ht="14.45">
      <c r="A58" s="36" t="s">
        <v>2230</v>
      </c>
      <c r="B58" s="36"/>
      <c r="C58" s="36"/>
    </row>
    <row r="59" spans="1:3" ht="14.45">
      <c r="A59" s="103"/>
      <c r="B59" s="103"/>
      <c r="C59" s="103"/>
    </row>
    <row r="61" spans="1:3" ht="15" customHeight="1">
      <c r="A61" s="88" t="s">
        <v>2422</v>
      </c>
      <c r="B61" s="88"/>
      <c r="C61" s="88"/>
    </row>
    <row r="62" spans="1:3" ht="14.45">
      <c r="A62" s="102"/>
      <c r="B62" s="102"/>
      <c r="C62" s="102"/>
    </row>
  </sheetData>
  <autoFilter ref="A2:AA45" xr:uid="{F496CA10-D06F-44F1-B3A9-021022D9E6A0}">
    <filterColumn colId="4">
      <filters>
        <filter val="cmidb_addresses"/>
        <filter val="cmidb_clients"/>
        <filter val="cmidb_clientstatuses"/>
        <filter val="cmidb_parties"/>
      </filters>
    </filterColumn>
  </autoFilter>
  <conditionalFormatting sqref="Q3:Q45">
    <cfRule type="expression" dxfId="119" priority="1">
      <formula>$L3="Y"</formula>
    </cfRule>
    <cfRule type="expression" dxfId="118" priority="2">
      <formula>$J3="Foreign"</formula>
    </cfRule>
    <cfRule type="expression" dxfId="117" priority="3">
      <formula>$J3="Business"</formula>
    </cfRule>
    <cfRule type="expression" dxfId="116" priority="4">
      <formula>$J3="Primary"</formula>
    </cfRule>
  </conditionalFormatting>
  <conditionalFormatting sqref="Q3:Q45">
    <cfRule type="duplicateValues" dxfId="115" priority="5"/>
  </conditionalFormatting>
  <hyperlinks>
    <hyperlink ref="A58" location="'Clients to Migrate'!A1" display="See Clients to Migrate sheet" xr:uid="{952EA1A1-F289-449B-A6BC-8E88872215A3}"/>
  </hyperlinks>
  <pageMargins left="0.7" right="0.7" top="0.75" bottom="0.75" header="0.3" footer="0.3"/>
  <pageSetup paperSize="9" orientation="portrai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EA7C-4000-44F2-A605-1A9B89C0E4C1}">
  <sheetPr>
    <tabColor rgb="FF00B0F0"/>
  </sheetPr>
  <dimension ref="A1:R57"/>
  <sheetViews>
    <sheetView workbookViewId="0">
      <pane xSplit="5" ySplit="2" topLeftCell="F3" activePane="bottomRight" state="frozen"/>
      <selection pane="bottomRight" activeCell="A23" sqref="A23"/>
      <selection pane="bottomLeft" activeCell="A3" sqref="A3"/>
      <selection pane="topRight" activeCell="B1" sqref="B1"/>
    </sheetView>
  </sheetViews>
  <sheetFormatPr defaultRowHeight="15" customHeight="1"/>
  <cols>
    <col min="1" max="1" width="44.42578125" customWidth="1"/>
    <col min="2" max="2" width="16.85546875" customWidth="1"/>
    <col min="3" max="3" width="14.7109375" customWidth="1"/>
    <col min="4" max="4" width="20.7109375" customWidth="1"/>
    <col min="5" max="5" width="33.7109375" customWidth="1"/>
    <col min="6" max="6" width="20.7109375" customWidth="1"/>
    <col min="7" max="9" width="15.7109375" customWidth="1"/>
    <col min="10" max="13" width="20.7109375" customWidth="1"/>
    <col min="14" max="14" width="15.7109375" bestFit="1" customWidth="1"/>
    <col min="15" max="15" width="39.28515625" customWidth="1"/>
    <col min="16" max="16" width="17.28515625" bestFit="1" customWidth="1"/>
    <col min="17" max="17" width="38.28515625" bestFit="1" customWidth="1"/>
    <col min="18" max="18" width="49.42578125" bestFit="1" customWidth="1"/>
  </cols>
  <sheetData>
    <row r="1" spans="1:18" ht="46.5" customHeight="1">
      <c r="A1" s="1" t="s">
        <v>2423</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2424</v>
      </c>
      <c r="B3" s="6"/>
      <c r="C3" s="6"/>
      <c r="D3" s="6" t="s">
        <v>320</v>
      </c>
      <c r="E3" s="6"/>
      <c r="F3" s="6"/>
      <c r="G3" s="6" t="s">
        <v>319</v>
      </c>
      <c r="H3" s="6"/>
      <c r="I3" s="6" t="s">
        <v>98</v>
      </c>
      <c r="J3" s="6" t="s">
        <v>2425</v>
      </c>
      <c r="K3" s="6"/>
      <c r="L3" s="6"/>
      <c r="M3" s="6">
        <v>-1</v>
      </c>
      <c r="N3" s="46"/>
      <c r="O3" s="7"/>
      <c r="P3" s="46">
        <v>1</v>
      </c>
      <c r="Q3" s="88" t="s">
        <v>2426</v>
      </c>
      <c r="R3" t="s">
        <v>2427</v>
      </c>
    </row>
    <row r="4" spans="1:18" ht="14.45">
      <c r="A4" s="9" t="s">
        <v>1230</v>
      </c>
      <c r="B4" s="9" t="s">
        <v>351</v>
      </c>
      <c r="C4" s="9">
        <v>20</v>
      </c>
      <c r="D4" s="9" t="s">
        <v>40</v>
      </c>
      <c r="E4" s="9" t="s">
        <v>2428</v>
      </c>
      <c r="F4" s="9" t="s">
        <v>2429</v>
      </c>
      <c r="G4" s="9" t="s">
        <v>351</v>
      </c>
      <c r="H4" s="9">
        <v>20</v>
      </c>
      <c r="I4" s="9" t="s">
        <v>98</v>
      </c>
      <c r="J4" s="95"/>
      <c r="K4" s="9"/>
      <c r="L4" s="9"/>
      <c r="M4" s="9" t="s">
        <v>327</v>
      </c>
      <c r="N4" s="46"/>
      <c r="O4" s="7"/>
      <c r="P4" s="46">
        <v>2</v>
      </c>
      <c r="Q4" s="88" t="s">
        <v>2430</v>
      </c>
      <c r="R4" t="s">
        <v>2431</v>
      </c>
    </row>
    <row r="5" spans="1:18" ht="14.45">
      <c r="A5" s="9" t="s">
        <v>1230</v>
      </c>
      <c r="B5" s="9" t="s">
        <v>351</v>
      </c>
      <c r="C5" s="9">
        <v>20</v>
      </c>
      <c r="D5" s="9" t="s">
        <v>12</v>
      </c>
      <c r="E5" s="9" t="s">
        <v>138</v>
      </c>
      <c r="F5" s="9" t="s">
        <v>2152</v>
      </c>
      <c r="G5" s="9" t="s">
        <v>351</v>
      </c>
      <c r="H5" s="9">
        <v>20</v>
      </c>
      <c r="I5" s="9" t="s">
        <v>98</v>
      </c>
      <c r="J5" s="95"/>
      <c r="K5" s="9"/>
      <c r="L5" s="9"/>
      <c r="M5" s="9"/>
      <c r="N5" s="46"/>
      <c r="O5" s="7"/>
      <c r="P5" s="46"/>
      <c r="Q5" s="88"/>
    </row>
    <row r="6" spans="1:18" ht="14.45">
      <c r="A6" s="9" t="s">
        <v>487</v>
      </c>
      <c r="B6" s="9" t="s">
        <v>351</v>
      </c>
      <c r="C6" s="9">
        <v>10</v>
      </c>
      <c r="D6" s="9" t="s">
        <v>12</v>
      </c>
      <c r="E6" s="9" t="s">
        <v>2432</v>
      </c>
      <c r="F6" s="9" t="s">
        <v>2155</v>
      </c>
      <c r="G6" s="9" t="s">
        <v>325</v>
      </c>
      <c r="H6" s="9">
        <v>10</v>
      </c>
      <c r="I6" s="9" t="s">
        <v>98</v>
      </c>
      <c r="J6" s="95"/>
      <c r="K6" s="9"/>
      <c r="L6" s="9"/>
      <c r="M6" s="9"/>
      <c r="N6" s="46"/>
      <c r="O6" s="7"/>
      <c r="P6" s="46"/>
      <c r="Q6" s="76"/>
      <c r="R6" s="76"/>
    </row>
    <row r="7" spans="1:18" ht="14.45">
      <c r="A7" s="9" t="s">
        <v>2433</v>
      </c>
      <c r="B7" s="9" t="s">
        <v>351</v>
      </c>
      <c r="C7" s="9">
        <v>20</v>
      </c>
      <c r="D7" s="9" t="s">
        <v>12</v>
      </c>
      <c r="E7" s="9" t="s">
        <v>2432</v>
      </c>
      <c r="F7" s="9" t="s">
        <v>2434</v>
      </c>
      <c r="G7" s="9" t="s">
        <v>351</v>
      </c>
      <c r="H7" s="9">
        <v>20</v>
      </c>
      <c r="I7" s="9" t="s">
        <v>98</v>
      </c>
      <c r="J7" s="95"/>
      <c r="K7" s="9"/>
      <c r="L7" s="9"/>
      <c r="M7" s="9"/>
      <c r="N7" s="46"/>
      <c r="O7" s="7"/>
      <c r="P7" s="46"/>
      <c r="Q7" s="88"/>
    </row>
    <row r="8" spans="1:18" ht="14.45">
      <c r="A8" s="99" t="s">
        <v>1036</v>
      </c>
      <c r="B8" s="99" t="s">
        <v>319</v>
      </c>
      <c r="C8" s="99"/>
      <c r="D8" s="27" t="s">
        <v>66</v>
      </c>
      <c r="E8" s="27" t="s">
        <v>1035</v>
      </c>
      <c r="F8" s="27" t="s">
        <v>1036</v>
      </c>
      <c r="G8" s="27" t="s">
        <v>319</v>
      </c>
      <c r="H8" s="27"/>
      <c r="I8" s="27" t="s">
        <v>98</v>
      </c>
      <c r="J8" s="99" t="s">
        <v>2435</v>
      </c>
      <c r="K8" s="27"/>
      <c r="L8" s="27"/>
      <c r="M8" s="27">
        <v>-1</v>
      </c>
      <c r="N8" s="46"/>
      <c r="O8" s="7"/>
      <c r="P8" s="46">
        <v>5</v>
      </c>
      <c r="Q8" t="s">
        <v>2436</v>
      </c>
      <c r="R8" s="76" t="s">
        <v>2437</v>
      </c>
    </row>
    <row r="9" spans="1:18" ht="14.45">
      <c r="A9" s="99" t="s">
        <v>1036</v>
      </c>
      <c r="B9" s="99" t="s">
        <v>319</v>
      </c>
      <c r="C9" s="99"/>
      <c r="D9" s="27" t="s">
        <v>66</v>
      </c>
      <c r="E9" s="27" t="s">
        <v>1035</v>
      </c>
      <c r="F9" s="27" t="s">
        <v>1036</v>
      </c>
      <c r="G9" s="27" t="s">
        <v>319</v>
      </c>
      <c r="H9" s="27"/>
      <c r="I9" s="27" t="s">
        <v>98</v>
      </c>
      <c r="J9" s="99" t="s">
        <v>2438</v>
      </c>
      <c r="K9" s="27"/>
      <c r="L9" s="27"/>
      <c r="M9" s="27"/>
      <c r="N9" s="46"/>
      <c r="O9" s="7"/>
      <c r="P9" s="46"/>
      <c r="R9" s="76"/>
    </row>
    <row r="10" spans="1:18" ht="14.45">
      <c r="A10" s="9" t="s">
        <v>2439</v>
      </c>
      <c r="B10" s="9" t="s">
        <v>367</v>
      </c>
      <c r="C10" s="9"/>
      <c r="D10" s="9" t="s">
        <v>40</v>
      </c>
      <c r="E10" s="9" t="s">
        <v>2428</v>
      </c>
      <c r="F10" s="9" t="s">
        <v>2440</v>
      </c>
      <c r="G10" s="9" t="s">
        <v>367</v>
      </c>
      <c r="H10" s="9">
        <v>8</v>
      </c>
      <c r="I10" s="9" t="s">
        <v>98</v>
      </c>
      <c r="J10" s="9"/>
      <c r="K10" s="9"/>
      <c r="L10" s="9"/>
      <c r="M10" s="9" t="s">
        <v>368</v>
      </c>
      <c r="N10" s="46"/>
      <c r="O10" s="7" t="s">
        <v>2441</v>
      </c>
      <c r="P10" s="46">
        <v>6</v>
      </c>
      <c r="Q10" s="76" t="s">
        <v>2442</v>
      </c>
      <c r="R10" s="76" t="s">
        <v>2443</v>
      </c>
    </row>
    <row r="11" spans="1:18" ht="14.45">
      <c r="A11" s="9" t="s">
        <v>2439</v>
      </c>
      <c r="B11" s="9" t="s">
        <v>367</v>
      </c>
      <c r="C11" s="9"/>
      <c r="D11" s="9" t="s">
        <v>12</v>
      </c>
      <c r="E11" s="9" t="s">
        <v>138</v>
      </c>
      <c r="F11" s="9" t="s">
        <v>2444</v>
      </c>
      <c r="G11" s="9" t="s">
        <v>367</v>
      </c>
      <c r="H11" s="9"/>
      <c r="I11" s="9" t="s">
        <v>98</v>
      </c>
      <c r="J11" s="9" t="s">
        <v>2445</v>
      </c>
      <c r="K11" s="9"/>
      <c r="L11" s="9"/>
      <c r="M11" s="9"/>
      <c r="N11" s="46"/>
      <c r="O11" s="7"/>
      <c r="P11" s="46"/>
      <c r="Q11" s="76"/>
      <c r="R11" s="76"/>
    </row>
    <row r="12" spans="1:18" ht="14.45">
      <c r="A12" s="7" t="s">
        <v>2446</v>
      </c>
      <c r="B12" s="7" t="s">
        <v>367</v>
      </c>
      <c r="C12" s="7"/>
      <c r="D12" s="7" t="s">
        <v>40</v>
      </c>
      <c r="E12" s="7" t="s">
        <v>2428</v>
      </c>
      <c r="F12" s="7" t="s">
        <v>2447</v>
      </c>
      <c r="G12" s="7" t="s">
        <v>367</v>
      </c>
      <c r="H12" s="7">
        <v>8</v>
      </c>
      <c r="I12" s="7" t="s">
        <v>98</v>
      </c>
      <c r="J12" s="7"/>
      <c r="K12" s="7"/>
      <c r="L12" s="7"/>
      <c r="M12" s="7"/>
      <c r="N12" s="46"/>
      <c r="O12" s="7"/>
      <c r="P12" s="46">
        <v>7</v>
      </c>
      <c r="Q12" s="76" t="s">
        <v>2448</v>
      </c>
      <c r="R12" s="76" t="s">
        <v>2449</v>
      </c>
    </row>
    <row r="13" spans="1:18" ht="14.45">
      <c r="A13" s="7" t="s">
        <v>2446</v>
      </c>
      <c r="B13" s="7" t="s">
        <v>367</v>
      </c>
      <c r="C13" s="7"/>
      <c r="D13" s="7" t="s">
        <v>12</v>
      </c>
      <c r="E13" s="7" t="s">
        <v>138</v>
      </c>
      <c r="F13" s="7" t="s">
        <v>2450</v>
      </c>
      <c r="G13" s="7" t="s">
        <v>367</v>
      </c>
      <c r="H13" s="7"/>
      <c r="I13" s="7" t="s">
        <v>98</v>
      </c>
      <c r="J13" s="7" t="s">
        <v>2451</v>
      </c>
      <c r="K13" s="7"/>
      <c r="L13" s="7"/>
      <c r="M13" s="7"/>
      <c r="N13" s="46"/>
      <c r="O13" s="7"/>
      <c r="P13" s="46"/>
      <c r="Q13" s="76"/>
      <c r="R13" s="76"/>
    </row>
    <row r="14" spans="1:18" ht="14.45">
      <c r="A14" s="7" t="s">
        <v>2452</v>
      </c>
      <c r="B14" s="7" t="s">
        <v>1635</v>
      </c>
      <c r="C14" s="7"/>
      <c r="D14" s="7" t="s">
        <v>40</v>
      </c>
      <c r="E14" s="7" t="s">
        <v>2428</v>
      </c>
      <c r="F14" s="7" t="s">
        <v>2453</v>
      </c>
      <c r="G14" s="7" t="s">
        <v>1635</v>
      </c>
      <c r="H14" s="7"/>
      <c r="I14" s="7" t="s">
        <v>98</v>
      </c>
      <c r="J14" s="7"/>
      <c r="K14" s="7"/>
      <c r="L14" s="7"/>
      <c r="M14" s="7"/>
      <c r="N14" s="46"/>
      <c r="O14" s="7"/>
      <c r="P14" s="46">
        <v>8</v>
      </c>
      <c r="Q14" s="76" t="s">
        <v>2454</v>
      </c>
      <c r="R14" s="76" t="s">
        <v>2455</v>
      </c>
    </row>
    <row r="15" spans="1:18" ht="14.45">
      <c r="A15" s="7" t="s">
        <v>2452</v>
      </c>
      <c r="B15" s="7" t="s">
        <v>1635</v>
      </c>
      <c r="C15" s="7"/>
      <c r="D15" s="7" t="s">
        <v>12</v>
      </c>
      <c r="E15" s="7" t="s">
        <v>138</v>
      </c>
      <c r="F15" s="7"/>
      <c r="G15" s="7" t="s">
        <v>1635</v>
      </c>
      <c r="H15" s="7"/>
      <c r="I15" s="7" t="s">
        <v>98</v>
      </c>
      <c r="J15" s="7">
        <v>100</v>
      </c>
      <c r="K15" s="7"/>
      <c r="L15" s="7" t="s">
        <v>2456</v>
      </c>
      <c r="M15" s="7"/>
      <c r="N15" s="46"/>
      <c r="O15" s="7"/>
      <c r="P15" s="46"/>
      <c r="Q15" s="76"/>
      <c r="R15" s="76"/>
    </row>
    <row r="16" spans="1:18" ht="14.45">
      <c r="A16" s="22" t="s">
        <v>1235</v>
      </c>
      <c r="B16" s="22" t="s">
        <v>319</v>
      </c>
      <c r="C16" s="22"/>
      <c r="D16" s="22" t="s">
        <v>2457</v>
      </c>
      <c r="E16" s="22" t="s">
        <v>118</v>
      </c>
      <c r="F16" s="22" t="s">
        <v>1235</v>
      </c>
      <c r="G16" s="22" t="s">
        <v>319</v>
      </c>
      <c r="H16" s="22"/>
      <c r="I16" s="22" t="s">
        <v>74</v>
      </c>
      <c r="J16" s="84"/>
      <c r="K16" s="22"/>
      <c r="L16" s="22"/>
      <c r="M16" s="22">
        <v>-1</v>
      </c>
      <c r="N16" s="46"/>
      <c r="O16" s="7"/>
      <c r="P16" s="46">
        <v>9</v>
      </c>
      <c r="Q16" s="76" t="s">
        <v>2458</v>
      </c>
      <c r="R16" s="76" t="s">
        <v>2459</v>
      </c>
    </row>
    <row r="17" spans="1:18" ht="14.45">
      <c r="A17" s="22" t="s">
        <v>1292</v>
      </c>
      <c r="B17" s="22" t="s">
        <v>319</v>
      </c>
      <c r="C17" s="22"/>
      <c r="D17" s="22" t="s">
        <v>2457</v>
      </c>
      <c r="E17" s="22" t="s">
        <v>247</v>
      </c>
      <c r="F17" s="22" t="s">
        <v>1292</v>
      </c>
      <c r="G17" s="22" t="s">
        <v>319</v>
      </c>
      <c r="H17" s="22"/>
      <c r="I17" s="22" t="s">
        <v>74</v>
      </c>
      <c r="J17" s="22"/>
      <c r="K17" s="22"/>
      <c r="L17" s="22"/>
      <c r="M17" s="22">
        <v>-1</v>
      </c>
      <c r="N17" s="46"/>
      <c r="O17" s="7" t="s">
        <v>2460</v>
      </c>
      <c r="P17" s="46">
        <v>10</v>
      </c>
      <c r="Q17" s="76" t="s">
        <v>2461</v>
      </c>
      <c r="R17" s="76" t="s">
        <v>2462</v>
      </c>
    </row>
    <row r="18" spans="1:18" ht="14.45">
      <c r="A18" s="7" t="s">
        <v>345</v>
      </c>
      <c r="B18" s="7" t="s">
        <v>346</v>
      </c>
      <c r="C18" s="7"/>
      <c r="D18" s="7" t="s">
        <v>40</v>
      </c>
      <c r="E18" s="7" t="s">
        <v>2428</v>
      </c>
      <c r="F18" s="7" t="s">
        <v>2463</v>
      </c>
      <c r="G18" s="7" t="s">
        <v>2464</v>
      </c>
      <c r="H18" s="7">
        <v>2</v>
      </c>
      <c r="I18" s="7" t="s">
        <v>74</v>
      </c>
      <c r="J18" s="7" t="s">
        <v>2465</v>
      </c>
      <c r="K18" s="7"/>
      <c r="L18" s="7"/>
      <c r="M18" s="7"/>
      <c r="N18" s="46"/>
      <c r="O18" s="7" t="s">
        <v>2466</v>
      </c>
      <c r="P18" s="46">
        <v>11</v>
      </c>
      <c r="Q18" s="76" t="s">
        <v>2467</v>
      </c>
      <c r="R18" s="76" t="s">
        <v>2468</v>
      </c>
    </row>
    <row r="19" spans="1:18" ht="14.45">
      <c r="A19" s="7" t="s">
        <v>345</v>
      </c>
      <c r="B19" s="7" t="s">
        <v>346</v>
      </c>
      <c r="C19" s="7"/>
      <c r="D19" s="7" t="s">
        <v>12</v>
      </c>
      <c r="E19" s="7" t="s">
        <v>138</v>
      </c>
      <c r="F19" s="7" t="s">
        <v>347</v>
      </c>
      <c r="G19" s="7" t="s">
        <v>346</v>
      </c>
      <c r="H19" s="7"/>
      <c r="I19" s="7" t="s">
        <v>74</v>
      </c>
      <c r="J19" s="7"/>
      <c r="K19" s="7"/>
      <c r="L19" s="7"/>
      <c r="M19" s="7"/>
      <c r="N19" s="46"/>
      <c r="O19" s="7"/>
      <c r="P19" s="46"/>
      <c r="Q19" s="76"/>
      <c r="R19" s="76"/>
    </row>
    <row r="20" spans="1:18" ht="14.45">
      <c r="A20" s="7" t="s">
        <v>1590</v>
      </c>
      <c r="B20" s="7" t="s">
        <v>367</v>
      </c>
      <c r="C20" s="7"/>
      <c r="D20" s="7" t="s">
        <v>40</v>
      </c>
      <c r="E20" s="7" t="s">
        <v>2428</v>
      </c>
      <c r="F20" s="7" t="s">
        <v>2469</v>
      </c>
      <c r="G20" s="7" t="s">
        <v>367</v>
      </c>
      <c r="H20" s="7">
        <v>8</v>
      </c>
      <c r="I20" s="7" t="s">
        <v>74</v>
      </c>
      <c r="J20" s="7"/>
      <c r="K20" s="7"/>
      <c r="L20" s="7"/>
      <c r="M20" s="7" t="s">
        <v>368</v>
      </c>
      <c r="N20" s="46"/>
      <c r="O20" s="7" t="s">
        <v>2470</v>
      </c>
      <c r="P20" s="46">
        <v>12</v>
      </c>
      <c r="Q20" s="76" t="s">
        <v>2471</v>
      </c>
      <c r="R20" s="76" t="s">
        <v>2472</v>
      </c>
    </row>
    <row r="21" spans="1:18" ht="14.45">
      <c r="A21" s="7" t="s">
        <v>1590</v>
      </c>
      <c r="B21" s="7" t="s">
        <v>367</v>
      </c>
      <c r="C21" s="7"/>
      <c r="D21" s="7" t="s">
        <v>12</v>
      </c>
      <c r="E21" s="7" t="s">
        <v>138</v>
      </c>
      <c r="F21" s="7" t="s">
        <v>2204</v>
      </c>
      <c r="G21" s="7" t="s">
        <v>367</v>
      </c>
      <c r="H21" s="7"/>
      <c r="I21" s="7" t="s">
        <v>74</v>
      </c>
      <c r="J21" s="7"/>
      <c r="K21" s="7"/>
      <c r="L21" s="7"/>
      <c r="M21" s="7"/>
      <c r="N21" s="46"/>
      <c r="O21" s="7"/>
      <c r="P21" s="46"/>
      <c r="Q21" s="76"/>
      <c r="R21" s="76"/>
    </row>
    <row r="22" spans="1:18" ht="14.45">
      <c r="A22" s="8" t="s">
        <v>350</v>
      </c>
      <c r="B22" s="8"/>
      <c r="C22" s="8"/>
      <c r="D22" s="8" t="s">
        <v>320</v>
      </c>
      <c r="E22" s="8"/>
      <c r="F22" s="8"/>
      <c r="G22" s="8" t="s">
        <v>351</v>
      </c>
      <c r="H22" s="8">
        <v>100</v>
      </c>
      <c r="I22" s="8" t="s">
        <v>98</v>
      </c>
      <c r="J22" s="8"/>
      <c r="K22" s="8"/>
      <c r="L22" s="8"/>
      <c r="M22" s="8" t="s">
        <v>327</v>
      </c>
      <c r="N22" s="46"/>
      <c r="O22" s="7"/>
      <c r="P22" s="46">
        <v>13</v>
      </c>
      <c r="Q22" s="88" t="s">
        <v>2473</v>
      </c>
      <c r="R22" s="76" t="s">
        <v>2474</v>
      </c>
    </row>
    <row r="23" spans="1:18" ht="14.45">
      <c r="A23" s="8" t="s">
        <v>354</v>
      </c>
      <c r="B23" s="8"/>
      <c r="C23" s="8"/>
      <c r="D23" s="8" t="s">
        <v>320</v>
      </c>
      <c r="E23" s="8"/>
      <c r="F23" s="8"/>
      <c r="G23" s="8" t="s">
        <v>351</v>
      </c>
      <c r="H23" s="8">
        <v>100</v>
      </c>
      <c r="I23" s="8" t="s">
        <v>98</v>
      </c>
      <c r="J23" s="8"/>
      <c r="K23" s="8"/>
      <c r="L23" s="8"/>
      <c r="M23" s="8" t="s">
        <v>327</v>
      </c>
      <c r="N23" s="46"/>
      <c r="O23" s="7"/>
      <c r="P23" s="46">
        <v>14</v>
      </c>
      <c r="Q23" s="88" t="s">
        <v>2475</v>
      </c>
      <c r="R23" s="76" t="s">
        <v>2476</v>
      </c>
    </row>
    <row r="24" spans="1:18" ht="14.45">
      <c r="A24" s="8" t="s">
        <v>357</v>
      </c>
      <c r="B24" s="8"/>
      <c r="C24" s="8"/>
      <c r="D24" s="8" t="s">
        <v>320</v>
      </c>
      <c r="E24" s="8"/>
      <c r="F24" s="8"/>
      <c r="G24" s="8" t="s">
        <v>351</v>
      </c>
      <c r="H24" s="8">
        <v>100</v>
      </c>
      <c r="I24" s="8" t="s">
        <v>98</v>
      </c>
      <c r="J24" s="8"/>
      <c r="K24" s="8"/>
      <c r="L24" s="8"/>
      <c r="M24" s="8" t="s">
        <v>327</v>
      </c>
      <c r="N24" s="46"/>
      <c r="O24" s="7"/>
      <c r="P24" s="46">
        <v>15</v>
      </c>
      <c r="Q24" s="88" t="s">
        <v>2477</v>
      </c>
      <c r="R24" s="76" t="s">
        <v>2478</v>
      </c>
    </row>
    <row r="25" spans="1:18" ht="14.45">
      <c r="A25" s="8" t="s">
        <v>360</v>
      </c>
      <c r="B25" s="8"/>
      <c r="C25" s="8"/>
      <c r="D25" s="8" t="s">
        <v>320</v>
      </c>
      <c r="E25" s="8"/>
      <c r="F25" s="8"/>
      <c r="G25" s="8" t="s">
        <v>351</v>
      </c>
      <c r="H25" s="8">
        <v>100</v>
      </c>
      <c r="I25" s="8" t="s">
        <v>98</v>
      </c>
      <c r="J25" s="8"/>
      <c r="K25" s="8"/>
      <c r="L25" s="8"/>
      <c r="M25" s="8" t="s">
        <v>327</v>
      </c>
      <c r="N25" s="46"/>
      <c r="O25" s="7"/>
      <c r="P25" s="46">
        <v>16</v>
      </c>
      <c r="Q25" s="88" t="s">
        <v>2479</v>
      </c>
      <c r="R25" s="76" t="s">
        <v>2480</v>
      </c>
    </row>
    <row r="26" spans="1:18" ht="14.45">
      <c r="A26" s="8" t="s">
        <v>363</v>
      </c>
      <c r="B26" s="8"/>
      <c r="C26" s="8"/>
      <c r="D26" s="8" t="s">
        <v>320</v>
      </c>
      <c r="E26" s="8"/>
      <c r="F26" s="8"/>
      <c r="G26" s="8" t="s">
        <v>351</v>
      </c>
      <c r="H26" s="8">
        <v>100</v>
      </c>
      <c r="I26" s="8" t="s">
        <v>98</v>
      </c>
      <c r="J26" s="8"/>
      <c r="K26" s="8"/>
      <c r="L26" s="8"/>
      <c r="M26" s="8" t="s">
        <v>327</v>
      </c>
      <c r="N26" s="46"/>
      <c r="O26" s="7"/>
      <c r="P26" s="46">
        <v>17</v>
      </c>
      <c r="Q26" s="88" t="s">
        <v>2481</v>
      </c>
      <c r="R26" t="s">
        <v>2482</v>
      </c>
    </row>
    <row r="27" spans="1:18" ht="14.45">
      <c r="A27" s="8" t="s">
        <v>366</v>
      </c>
      <c r="B27" s="8"/>
      <c r="C27" s="8"/>
      <c r="D27" s="8" t="s">
        <v>320</v>
      </c>
      <c r="E27" s="8"/>
      <c r="F27" s="8"/>
      <c r="G27" s="8" t="s">
        <v>367</v>
      </c>
      <c r="H27" s="8"/>
      <c r="I27" s="8" t="s">
        <v>98</v>
      </c>
      <c r="J27" s="8"/>
      <c r="K27" s="8"/>
      <c r="L27" s="8"/>
      <c r="M27" s="8" t="s">
        <v>368</v>
      </c>
      <c r="N27" s="46"/>
      <c r="O27" s="7"/>
      <c r="P27" s="46">
        <v>18</v>
      </c>
      <c r="Q27" s="88" t="s">
        <v>2483</v>
      </c>
      <c r="R27" t="s">
        <v>2484</v>
      </c>
    </row>
    <row r="28" spans="1:18" ht="14.45">
      <c r="A28" s="8" t="s">
        <v>371</v>
      </c>
      <c r="B28" s="8"/>
      <c r="C28" s="8"/>
      <c r="D28" s="8" t="s">
        <v>320</v>
      </c>
      <c r="E28" s="8"/>
      <c r="F28" s="8"/>
      <c r="G28" s="8" t="s">
        <v>367</v>
      </c>
      <c r="H28" s="8"/>
      <c r="I28" s="8" t="s">
        <v>98</v>
      </c>
      <c r="J28" s="8"/>
      <c r="K28" s="8"/>
      <c r="L28" s="8"/>
      <c r="M28" s="8" t="s">
        <v>368</v>
      </c>
      <c r="N28" s="46"/>
      <c r="O28" s="7"/>
      <c r="P28" s="46">
        <v>19</v>
      </c>
      <c r="Q28" s="88" t="s">
        <v>2485</v>
      </c>
      <c r="R28" t="s">
        <v>2486</v>
      </c>
    </row>
    <row r="29" spans="1:18" ht="14.45">
      <c r="A29" s="8" t="s">
        <v>374</v>
      </c>
      <c r="B29" s="8"/>
      <c r="C29" s="8"/>
      <c r="D29" s="8" t="s">
        <v>320</v>
      </c>
      <c r="E29" s="8"/>
      <c r="F29" s="8"/>
      <c r="G29" s="8" t="s">
        <v>351</v>
      </c>
      <c r="H29" s="8">
        <v>100</v>
      </c>
      <c r="I29" s="8" t="s">
        <v>98</v>
      </c>
      <c r="J29" s="8"/>
      <c r="K29" s="8"/>
      <c r="L29" s="8"/>
      <c r="M29" s="8" t="s">
        <v>327</v>
      </c>
      <c r="N29" s="46"/>
      <c r="O29" s="7"/>
      <c r="P29" s="46">
        <v>20</v>
      </c>
      <c r="Q29" s="88" t="s">
        <v>2487</v>
      </c>
      <c r="R29" t="s">
        <v>2488</v>
      </c>
    </row>
    <row r="31" spans="1:18" ht="14.45">
      <c r="A31" s="21" t="s">
        <v>90</v>
      </c>
      <c r="B31" s="21"/>
      <c r="C31" s="21"/>
    </row>
    <row r="32" spans="1:18" ht="14.45">
      <c r="A32" t="s">
        <v>2489</v>
      </c>
    </row>
    <row r="34" spans="1:3" ht="14.45">
      <c r="A34" s="21" t="s">
        <v>2490</v>
      </c>
      <c r="B34" s="21"/>
      <c r="C34" s="21"/>
    </row>
    <row r="35" spans="1:3" ht="14.45">
      <c r="A35" t="s">
        <v>2491</v>
      </c>
    </row>
    <row r="36" spans="1:3" ht="14.45">
      <c r="A36" t="s">
        <v>2492</v>
      </c>
    </row>
    <row r="37" spans="1:3" ht="14.45">
      <c r="A37" t="s">
        <v>2493</v>
      </c>
    </row>
    <row r="38" spans="1:3" ht="14.45">
      <c r="A38" t="s">
        <v>2494</v>
      </c>
    </row>
    <row r="39" spans="1:3" ht="14.45">
      <c r="A39" s="89" t="s">
        <v>2495</v>
      </c>
      <c r="B39" s="89"/>
      <c r="C39" s="89"/>
    </row>
    <row r="40" spans="1:3" ht="14.45">
      <c r="A40" t="s">
        <v>2496</v>
      </c>
    </row>
    <row r="41" spans="1:3" ht="14.45">
      <c r="A41" s="35" t="s">
        <v>2497</v>
      </c>
      <c r="B41" s="35"/>
      <c r="C41" s="35"/>
    </row>
    <row r="43" spans="1:3" ht="14.45">
      <c r="A43" s="21" t="s">
        <v>2498</v>
      </c>
      <c r="B43" s="21"/>
      <c r="C43" s="21"/>
    </row>
    <row r="44" spans="1:3" ht="14.45">
      <c r="A44" s="35" t="s">
        <v>2499</v>
      </c>
      <c r="B44" s="35"/>
      <c r="C44" s="35"/>
    </row>
    <row r="45" spans="1:3" ht="14.45">
      <c r="A45" t="s">
        <v>2500</v>
      </c>
    </row>
    <row r="46" spans="1:3" ht="14.45">
      <c r="A46" s="36" t="s">
        <v>2230</v>
      </c>
      <c r="B46" s="36"/>
      <c r="C46" s="36"/>
    </row>
    <row r="50" spans="1:3" ht="14.45">
      <c r="A50" s="21" t="s">
        <v>2501</v>
      </c>
      <c r="B50" s="21"/>
      <c r="C50" s="21"/>
    </row>
    <row r="51" spans="1:3" ht="14.45">
      <c r="A51" s="35" t="s">
        <v>2502</v>
      </c>
      <c r="B51" s="35"/>
      <c r="C51" s="35"/>
    </row>
    <row r="52" spans="1:3" ht="14.45">
      <c r="A52" t="s">
        <v>2503</v>
      </c>
    </row>
    <row r="53" spans="1:3" ht="14.45">
      <c r="A53" s="35" t="s">
        <v>2497</v>
      </c>
      <c r="B53" s="35"/>
      <c r="C53" s="35"/>
    </row>
    <row r="55" spans="1:3" ht="14.45">
      <c r="A55" s="21" t="s">
        <v>2504</v>
      </c>
      <c r="B55" s="21"/>
      <c r="C55" s="21"/>
    </row>
    <row r="56" spans="1:3" ht="14.45">
      <c r="A56" s="35" t="s">
        <v>2505</v>
      </c>
      <c r="B56" s="35"/>
      <c r="C56" s="35"/>
    </row>
    <row r="57" spans="1:3" ht="14.45">
      <c r="A57" s="36" t="s">
        <v>2230</v>
      </c>
      <c r="B57" s="36"/>
      <c r="C57" s="36"/>
    </row>
  </sheetData>
  <conditionalFormatting sqref="Q22:Q29">
    <cfRule type="duplicateValues" dxfId="114" priority="6"/>
  </conditionalFormatting>
  <conditionalFormatting sqref="Q10:Q17 Q3:Q7">
    <cfRule type="expression" dxfId="113" priority="1">
      <formula>$L3="Y"</formula>
    </cfRule>
    <cfRule type="expression" dxfId="112" priority="2">
      <formula>$J3="Foreign"</formula>
    </cfRule>
    <cfRule type="expression" dxfId="111" priority="3">
      <formula>$J3="Business"</formula>
    </cfRule>
    <cfRule type="expression" dxfId="110" priority="4">
      <formula>$J3="Primary"</formula>
    </cfRule>
  </conditionalFormatting>
  <conditionalFormatting sqref="Q23:Q29">
    <cfRule type="expression" dxfId="109" priority="186">
      <formula>$L22="Y"</formula>
    </cfRule>
    <cfRule type="expression" dxfId="108" priority="187">
      <formula>$J22="Foreign"</formula>
    </cfRule>
    <cfRule type="expression" dxfId="107" priority="188">
      <formula>$J22="Business"</formula>
    </cfRule>
    <cfRule type="expression" dxfId="106" priority="189">
      <formula>$J22="Primary"</formula>
    </cfRule>
  </conditionalFormatting>
  <conditionalFormatting sqref="Q10:Q29 Q3:Q7">
    <cfRule type="duplicateValues" dxfId="105" priority="349"/>
  </conditionalFormatting>
  <conditionalFormatting sqref="Q18:Q19">
    <cfRule type="expression" dxfId="104" priority="351">
      <formula>#REF!="Y"</formula>
    </cfRule>
    <cfRule type="expression" dxfId="103" priority="352">
      <formula>#REF!="Foreign"</formula>
    </cfRule>
    <cfRule type="expression" dxfId="102" priority="353">
      <formula>#REF!="Business"</formula>
    </cfRule>
    <cfRule type="expression" dxfId="101" priority="354">
      <formula>#REF!="Primary"</formula>
    </cfRule>
  </conditionalFormatting>
  <conditionalFormatting sqref="Q20:Q22">
    <cfRule type="expression" dxfId="100" priority="448">
      <formula>$L18="Y"</formula>
    </cfRule>
    <cfRule type="expression" dxfId="99" priority="449">
      <formula>$J18="Foreign"</formula>
    </cfRule>
    <cfRule type="expression" dxfId="98" priority="450">
      <formula>$J18="Business"</formula>
    </cfRule>
    <cfRule type="expression" dxfId="97" priority="451">
      <formula>$J18="Primary"</formula>
    </cfRule>
  </conditionalFormatting>
  <conditionalFormatting sqref="Q3:Q7">
    <cfRule type="duplicateValues" dxfId="96" priority="507"/>
  </conditionalFormatting>
  <hyperlinks>
    <hyperlink ref="A46" location="'Clients to Migrate'!A1" display="See Clients to Migrate sheet" xr:uid="{B1A33DD0-4D85-466D-A78F-E55BAD268947}"/>
    <hyperlink ref="A57" location="'Clients to Migrate'!A1" display="See Clients to Migrate sheet" xr:uid="{76A07D12-951E-4EDF-BCD2-A26107F4D92F}"/>
  </hyperlink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F0"/>
  </sheetPr>
  <dimension ref="A1:R62"/>
  <sheetViews>
    <sheetView zoomScale="80" zoomScaleNormal="80" workbookViewId="0">
      <pane xSplit="4" ySplit="2" topLeftCell="E3" activePane="bottomRight" state="frozen"/>
      <selection pane="bottomRight" activeCell="F10" sqref="F10"/>
      <selection pane="bottomLeft" activeCell="A3" sqref="A3"/>
      <selection pane="topRight" activeCell="B1" sqref="B1"/>
    </sheetView>
  </sheetViews>
  <sheetFormatPr defaultRowHeight="15" customHeight="1"/>
  <cols>
    <col min="1" max="1" width="36.140625" customWidth="1"/>
    <col min="2" max="2" width="17" customWidth="1"/>
    <col min="3" max="3" width="16.5703125" customWidth="1"/>
    <col min="4" max="4" width="29.7109375" customWidth="1"/>
    <col min="5" max="5" width="20.7109375" customWidth="1"/>
    <col min="6" max="6" width="24.85546875" customWidth="1"/>
    <col min="7" max="7" width="16.42578125" customWidth="1"/>
    <col min="8" max="9" width="15.7109375" customWidth="1"/>
    <col min="10" max="10" width="93" customWidth="1"/>
    <col min="11" max="13" width="20.7109375" customWidth="1"/>
    <col min="14" max="14" width="14.7109375" style="44" customWidth="1"/>
    <col min="15" max="15" width="52.85546875" customWidth="1"/>
    <col min="16" max="16" width="17.28515625" style="44" bestFit="1" customWidth="1"/>
    <col min="17" max="17" width="39.5703125" bestFit="1" customWidth="1"/>
    <col min="18" max="18" width="40.42578125" bestFit="1" customWidth="1"/>
  </cols>
  <sheetData>
    <row r="1" spans="1:18" ht="60" customHeight="1">
      <c r="A1" s="1" t="s">
        <v>118</v>
      </c>
      <c r="B1" s="1"/>
      <c r="C1" s="1"/>
      <c r="F1" s="2" t="s">
        <v>297</v>
      </c>
      <c r="K1" s="3" t="s">
        <v>298</v>
      </c>
      <c r="L1" s="4" t="s">
        <v>299</v>
      </c>
      <c r="M1" s="19" t="s">
        <v>300</v>
      </c>
      <c r="N1" s="45" t="s">
        <v>301</v>
      </c>
      <c r="O1" s="44"/>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1235</v>
      </c>
      <c r="B3" s="6"/>
      <c r="C3" s="6"/>
      <c r="D3" s="6" t="s">
        <v>320</v>
      </c>
      <c r="E3" s="6"/>
      <c r="F3" s="6"/>
      <c r="G3" s="6" t="s">
        <v>319</v>
      </c>
      <c r="H3" s="6"/>
      <c r="I3" s="6" t="s">
        <v>98</v>
      </c>
      <c r="J3" s="6" t="s">
        <v>321</v>
      </c>
      <c r="K3" s="6"/>
      <c r="L3" s="6"/>
      <c r="M3" s="6">
        <v>-1</v>
      </c>
      <c r="N3" s="46"/>
      <c r="O3" s="7"/>
      <c r="P3" s="46">
        <v>1</v>
      </c>
      <c r="Q3" s="88" t="s">
        <v>2244</v>
      </c>
      <c r="R3" t="s">
        <v>2245</v>
      </c>
    </row>
    <row r="4" spans="1:18" ht="14.45">
      <c r="A4" s="9" t="s">
        <v>1230</v>
      </c>
      <c r="B4" s="9" t="s">
        <v>351</v>
      </c>
      <c r="C4" s="9">
        <v>20</v>
      </c>
      <c r="D4" s="9" t="s">
        <v>12</v>
      </c>
      <c r="E4" s="9" t="s">
        <v>138</v>
      </c>
      <c r="F4" s="9" t="s">
        <v>2152</v>
      </c>
      <c r="G4" s="9" t="s">
        <v>351</v>
      </c>
      <c r="H4" s="9">
        <v>20</v>
      </c>
      <c r="I4" s="9" t="s">
        <v>98</v>
      </c>
      <c r="J4" s="9"/>
      <c r="K4" s="9"/>
      <c r="L4" s="9"/>
      <c r="M4" s="9" t="s">
        <v>327</v>
      </c>
      <c r="N4" s="46"/>
      <c r="O4" s="7" t="s">
        <v>2506</v>
      </c>
      <c r="P4" s="46">
        <v>2</v>
      </c>
      <c r="Q4" s="76" t="s">
        <v>2248</v>
      </c>
      <c r="R4" s="76" t="s">
        <v>2249</v>
      </c>
    </row>
    <row r="5" spans="1:18" ht="14.45">
      <c r="A5" s="9" t="s">
        <v>487</v>
      </c>
      <c r="B5" s="9" t="s">
        <v>325</v>
      </c>
      <c r="C5" s="9">
        <v>10</v>
      </c>
      <c r="D5" s="9" t="s">
        <v>12</v>
      </c>
      <c r="E5" s="9" t="s">
        <v>138</v>
      </c>
      <c r="F5" s="9" t="s">
        <v>2155</v>
      </c>
      <c r="G5" s="9" t="s">
        <v>325</v>
      </c>
      <c r="H5" s="9">
        <v>10</v>
      </c>
      <c r="I5" s="9" t="s">
        <v>98</v>
      </c>
      <c r="J5" s="70"/>
      <c r="K5" s="9"/>
      <c r="L5" s="9"/>
      <c r="M5" s="9" t="s">
        <v>327</v>
      </c>
      <c r="N5" s="46"/>
      <c r="O5" s="49" t="s">
        <v>2507</v>
      </c>
      <c r="P5" s="46">
        <v>3</v>
      </c>
      <c r="Q5" s="76" t="s">
        <v>2250</v>
      </c>
      <c r="R5" s="76" t="s">
        <v>2251</v>
      </c>
    </row>
    <row r="6" spans="1:18" ht="14.45">
      <c r="A6" s="7" t="s">
        <v>2252</v>
      </c>
      <c r="B6" s="7" t="s">
        <v>431</v>
      </c>
      <c r="C6" s="7"/>
      <c r="D6" s="7" t="s">
        <v>12</v>
      </c>
      <c r="E6" s="7" t="s">
        <v>138</v>
      </c>
      <c r="F6" s="7" t="s">
        <v>2508</v>
      </c>
      <c r="G6" s="7" t="s">
        <v>431</v>
      </c>
      <c r="H6" s="7"/>
      <c r="I6" s="7" t="s">
        <v>98</v>
      </c>
      <c r="J6" s="7" t="s">
        <v>2509</v>
      </c>
      <c r="K6" s="7"/>
      <c r="L6" s="7" t="s">
        <v>942</v>
      </c>
      <c r="M6" s="7">
        <v>-1</v>
      </c>
      <c r="N6" s="46"/>
      <c r="O6" s="7" t="s">
        <v>2510</v>
      </c>
      <c r="P6" s="46">
        <v>4</v>
      </c>
      <c r="Q6" s="76" t="s">
        <v>2255</v>
      </c>
      <c r="R6" s="76" t="s">
        <v>2256</v>
      </c>
    </row>
    <row r="7" spans="1:18" ht="14.45">
      <c r="A7" s="7" t="s">
        <v>2257</v>
      </c>
      <c r="B7" s="7" t="s">
        <v>325</v>
      </c>
      <c r="C7" s="7">
        <v>50</v>
      </c>
      <c r="D7" s="7" t="s">
        <v>12</v>
      </c>
      <c r="E7" s="7" t="s">
        <v>138</v>
      </c>
      <c r="F7" s="7" t="s">
        <v>2511</v>
      </c>
      <c r="G7" s="7" t="s">
        <v>351</v>
      </c>
      <c r="H7" s="7">
        <v>20</v>
      </c>
      <c r="I7" s="7" t="s">
        <v>74</v>
      </c>
      <c r="J7" s="7"/>
      <c r="K7" s="7"/>
      <c r="L7" s="7"/>
      <c r="M7" s="7">
        <v>-1</v>
      </c>
      <c r="N7" s="46"/>
      <c r="O7" s="7" t="s">
        <v>2258</v>
      </c>
      <c r="P7" s="46">
        <v>5</v>
      </c>
      <c r="Q7" s="76" t="s">
        <v>2259</v>
      </c>
      <c r="R7" s="76" t="s">
        <v>2260</v>
      </c>
    </row>
    <row r="8" spans="1:18" ht="14.45">
      <c r="A8" s="7" t="s">
        <v>2261</v>
      </c>
      <c r="B8" s="7" t="s">
        <v>351</v>
      </c>
      <c r="C8" s="7">
        <v>255</v>
      </c>
      <c r="D8" s="7" t="s">
        <v>12</v>
      </c>
      <c r="E8" s="7" t="s">
        <v>138</v>
      </c>
      <c r="F8" s="7" t="s">
        <v>2512</v>
      </c>
      <c r="G8" s="7" t="s">
        <v>351</v>
      </c>
      <c r="H8" s="7">
        <v>255</v>
      </c>
      <c r="I8" s="7" t="s">
        <v>98</v>
      </c>
      <c r="J8" s="7"/>
      <c r="K8" s="7"/>
      <c r="L8" s="7"/>
      <c r="M8" s="7" t="s">
        <v>327</v>
      </c>
      <c r="N8" s="46"/>
      <c r="O8" s="7"/>
      <c r="P8" s="46">
        <v>6</v>
      </c>
      <c r="Q8" s="76" t="s">
        <v>2264</v>
      </c>
      <c r="R8" s="76" t="s">
        <v>2265</v>
      </c>
    </row>
    <row r="9" spans="1:18" ht="14.45">
      <c r="A9" s="7" t="s">
        <v>2266</v>
      </c>
      <c r="B9" s="7" t="s">
        <v>351</v>
      </c>
      <c r="C9" s="7">
        <v>255</v>
      </c>
      <c r="D9" s="7" t="s">
        <v>12</v>
      </c>
      <c r="E9" s="7" t="s">
        <v>138</v>
      </c>
      <c r="F9" s="7" t="s">
        <v>2267</v>
      </c>
      <c r="G9" s="7" t="s">
        <v>351</v>
      </c>
      <c r="H9" s="7">
        <v>255</v>
      </c>
      <c r="I9" s="7" t="s">
        <v>74</v>
      </c>
      <c r="J9" s="7"/>
      <c r="K9" s="7"/>
      <c r="L9" s="7"/>
      <c r="M9" s="7" t="s">
        <v>327</v>
      </c>
      <c r="N9" s="46"/>
      <c r="O9" s="7"/>
      <c r="P9" s="46">
        <v>7</v>
      </c>
      <c r="Q9" s="76" t="s">
        <v>2269</v>
      </c>
      <c r="R9" s="76" t="s">
        <v>2270</v>
      </c>
    </row>
    <row r="10" spans="1:18" ht="116.1">
      <c r="A10" s="7" t="s">
        <v>2271</v>
      </c>
      <c r="B10" s="7" t="s">
        <v>351</v>
      </c>
      <c r="C10" s="7">
        <v>100</v>
      </c>
      <c r="D10" s="7" t="s">
        <v>12</v>
      </c>
      <c r="E10" s="7" t="s">
        <v>138</v>
      </c>
      <c r="F10" s="7" t="s">
        <v>2272</v>
      </c>
      <c r="G10" s="7" t="s">
        <v>351</v>
      </c>
      <c r="H10" s="7">
        <v>100</v>
      </c>
      <c r="I10" s="7" t="s">
        <v>74</v>
      </c>
      <c r="J10" s="50" t="s">
        <v>2513</v>
      </c>
      <c r="K10" s="7"/>
      <c r="L10" s="7"/>
      <c r="M10" s="7" t="s">
        <v>327</v>
      </c>
      <c r="N10" s="46"/>
      <c r="O10" s="7"/>
      <c r="P10" s="46">
        <v>8</v>
      </c>
      <c r="Q10" s="76" t="s">
        <v>2275</v>
      </c>
      <c r="R10" s="76" t="s">
        <v>2276</v>
      </c>
    </row>
    <row r="11" spans="1:18" ht="14.45">
      <c r="A11" s="7" t="s">
        <v>2277</v>
      </c>
      <c r="B11" s="7" t="s">
        <v>367</v>
      </c>
      <c r="C11" s="7"/>
      <c r="D11" s="7" t="s">
        <v>12</v>
      </c>
      <c r="E11" s="7" t="s">
        <v>138</v>
      </c>
      <c r="F11" s="7" t="s">
        <v>2444</v>
      </c>
      <c r="G11" s="7" t="s">
        <v>367</v>
      </c>
      <c r="H11" s="7"/>
      <c r="I11" s="7" t="s">
        <v>74</v>
      </c>
      <c r="J11" s="7" t="s">
        <v>2514</v>
      </c>
      <c r="K11" s="7"/>
      <c r="L11" s="7"/>
      <c r="M11" s="7" t="s">
        <v>368</v>
      </c>
      <c r="N11" s="46"/>
      <c r="O11" s="7" t="s">
        <v>2515</v>
      </c>
      <c r="P11" s="46">
        <v>9</v>
      </c>
      <c r="Q11" s="76" t="s">
        <v>2279</v>
      </c>
      <c r="R11" s="76" t="s">
        <v>2280</v>
      </c>
    </row>
    <row r="12" spans="1:18" ht="14.45">
      <c r="A12" s="7" t="s">
        <v>2281</v>
      </c>
      <c r="B12" s="7" t="s">
        <v>367</v>
      </c>
      <c r="C12" s="7"/>
      <c r="D12" s="7" t="s">
        <v>12</v>
      </c>
      <c r="E12" s="7" t="s">
        <v>138</v>
      </c>
      <c r="F12" s="7" t="s">
        <v>2450</v>
      </c>
      <c r="G12" s="7" t="s">
        <v>367</v>
      </c>
      <c r="H12" s="7"/>
      <c r="I12" s="7" t="s">
        <v>74</v>
      </c>
      <c r="J12" s="7" t="s">
        <v>2516</v>
      </c>
      <c r="K12" s="7"/>
      <c r="L12" s="7"/>
      <c r="M12" s="7" t="s">
        <v>368</v>
      </c>
      <c r="N12" s="46"/>
      <c r="O12" s="7"/>
      <c r="P12" s="46">
        <v>10</v>
      </c>
      <c r="Q12" s="76" t="s">
        <v>2283</v>
      </c>
      <c r="R12" s="76" t="s">
        <v>2284</v>
      </c>
    </row>
    <row r="13" spans="1:18" ht="14.45">
      <c r="A13" s="7" t="s">
        <v>2285</v>
      </c>
      <c r="B13" s="7" t="s">
        <v>351</v>
      </c>
      <c r="C13" s="7">
        <v>20</v>
      </c>
      <c r="D13" s="7" t="s">
        <v>40</v>
      </c>
      <c r="E13" s="7" t="s">
        <v>2310</v>
      </c>
      <c r="F13" s="7" t="s">
        <v>2517</v>
      </c>
      <c r="G13" s="7" t="s">
        <v>351</v>
      </c>
      <c r="H13" s="7">
        <v>20</v>
      </c>
      <c r="I13" s="7" t="s">
        <v>74</v>
      </c>
      <c r="J13" s="7" t="s">
        <v>2518</v>
      </c>
      <c r="K13" s="7"/>
      <c r="L13" s="7"/>
      <c r="M13" s="7" t="s">
        <v>327</v>
      </c>
      <c r="N13" s="46"/>
      <c r="O13" s="7"/>
      <c r="P13" s="46">
        <v>11</v>
      </c>
      <c r="Q13" s="76" t="s">
        <v>2288</v>
      </c>
      <c r="R13" s="76" t="s">
        <v>2289</v>
      </c>
    </row>
    <row r="14" spans="1:18" ht="14.45">
      <c r="A14" s="7" t="s">
        <v>2290</v>
      </c>
      <c r="B14" s="7" t="s">
        <v>351</v>
      </c>
      <c r="C14" s="7">
        <v>1</v>
      </c>
      <c r="D14" s="7" t="s">
        <v>40</v>
      </c>
      <c r="E14" s="7" t="s">
        <v>2310</v>
      </c>
      <c r="F14" s="7" t="s">
        <v>2519</v>
      </c>
      <c r="G14" s="7" t="s">
        <v>351</v>
      </c>
      <c r="H14" s="7">
        <v>1</v>
      </c>
      <c r="I14" s="7" t="s">
        <v>74</v>
      </c>
      <c r="J14" s="7" t="s">
        <v>2520</v>
      </c>
      <c r="K14" s="7"/>
      <c r="L14" s="7"/>
      <c r="M14" s="7" t="s">
        <v>327</v>
      </c>
      <c r="N14" s="46"/>
      <c r="O14" s="7"/>
      <c r="P14" s="46">
        <v>12</v>
      </c>
      <c r="Q14" s="76" t="s">
        <v>2293</v>
      </c>
      <c r="R14" s="76" t="s">
        <v>2294</v>
      </c>
    </row>
    <row r="15" spans="1:18" ht="29.1">
      <c r="A15" s="83" t="s">
        <v>2295</v>
      </c>
      <c r="B15" s="83" t="s">
        <v>351</v>
      </c>
      <c r="C15" s="83">
        <v>256</v>
      </c>
      <c r="D15" s="83" t="s">
        <v>45</v>
      </c>
      <c r="E15" s="83" t="s">
        <v>2233</v>
      </c>
      <c r="F15" s="83" t="s">
        <v>1</v>
      </c>
      <c r="G15" s="83" t="s">
        <v>351</v>
      </c>
      <c r="H15" s="83">
        <v>256</v>
      </c>
      <c r="I15" s="83" t="s">
        <v>98</v>
      </c>
      <c r="J15" s="87" t="s">
        <v>2521</v>
      </c>
      <c r="K15" s="83"/>
      <c r="L15" s="83"/>
      <c r="M15" s="83" t="s">
        <v>327</v>
      </c>
      <c r="N15" s="46"/>
      <c r="O15" s="7"/>
      <c r="P15" s="46">
        <v>13</v>
      </c>
      <c r="Q15" s="76" t="s">
        <v>2297</v>
      </c>
      <c r="R15" s="79" t="s">
        <v>2298</v>
      </c>
    </row>
    <row r="16" spans="1:18" ht="14.45">
      <c r="A16" s="83" t="s">
        <v>2299</v>
      </c>
      <c r="B16" s="83" t="s">
        <v>351</v>
      </c>
      <c r="C16" s="83">
        <v>10</v>
      </c>
      <c r="D16" s="83" t="s">
        <v>45</v>
      </c>
      <c r="E16" s="83" t="s">
        <v>2233</v>
      </c>
      <c r="F16" s="83" t="s">
        <v>2235</v>
      </c>
      <c r="G16" s="83" t="s">
        <v>351</v>
      </c>
      <c r="H16" s="83">
        <v>10</v>
      </c>
      <c r="I16" s="83" t="s">
        <v>74</v>
      </c>
      <c r="J16" s="87" t="s">
        <v>2236</v>
      </c>
      <c r="K16" s="83"/>
      <c r="L16" s="83"/>
      <c r="M16" s="83" t="s">
        <v>327</v>
      </c>
      <c r="N16" s="46"/>
      <c r="O16" s="7"/>
      <c r="P16" s="46"/>
      <c r="Q16" s="76"/>
      <c r="R16" s="79"/>
    </row>
    <row r="17" spans="1:18" ht="43.5">
      <c r="A17" s="83" t="s">
        <v>2302</v>
      </c>
      <c r="B17" s="83" t="s">
        <v>351</v>
      </c>
      <c r="C17" s="83">
        <v>256</v>
      </c>
      <c r="D17" s="83" t="s">
        <v>45</v>
      </c>
      <c r="E17" s="83" t="s">
        <v>2303</v>
      </c>
      <c r="F17" s="83" t="s">
        <v>1</v>
      </c>
      <c r="G17" s="83"/>
      <c r="H17" s="83">
        <v>256</v>
      </c>
      <c r="I17" s="83" t="s">
        <v>74</v>
      </c>
      <c r="J17" s="87" t="s">
        <v>2522</v>
      </c>
      <c r="K17" s="83"/>
      <c r="L17" s="83"/>
      <c r="M17" s="83" t="s">
        <v>327</v>
      </c>
      <c r="N17" s="46"/>
      <c r="O17" s="7"/>
      <c r="P17" s="46"/>
      <c r="Q17" s="76"/>
      <c r="R17" s="79"/>
    </row>
    <row r="18" spans="1:18" ht="14.45">
      <c r="A18" s="7" t="s">
        <v>2305</v>
      </c>
      <c r="B18" s="83" t="s">
        <v>351</v>
      </c>
      <c r="C18" s="7">
        <v>1</v>
      </c>
      <c r="D18" s="7" t="s">
        <v>40</v>
      </c>
      <c r="E18" s="7" t="s">
        <v>2310</v>
      </c>
      <c r="F18" s="7" t="s">
        <v>2523</v>
      </c>
      <c r="G18" s="7" t="s">
        <v>351</v>
      </c>
      <c r="H18" s="7">
        <v>1</v>
      </c>
      <c r="I18" s="7" t="s">
        <v>74</v>
      </c>
      <c r="J18" s="7" t="s">
        <v>2524</v>
      </c>
      <c r="K18" s="7"/>
      <c r="L18" s="7"/>
      <c r="M18" s="7" t="s">
        <v>327</v>
      </c>
      <c r="N18" s="46"/>
      <c r="O18" s="7"/>
      <c r="P18" s="46">
        <v>14</v>
      </c>
      <c r="Q18" s="76" t="s">
        <v>2307</v>
      </c>
      <c r="R18" s="76" t="s">
        <v>2308</v>
      </c>
    </row>
    <row r="19" spans="1:18" ht="14.45">
      <c r="A19" s="7" t="s">
        <v>2309</v>
      </c>
      <c r="B19" s="83" t="s">
        <v>351</v>
      </c>
      <c r="C19" s="7">
        <v>10</v>
      </c>
      <c r="D19" s="7" t="s">
        <v>40</v>
      </c>
      <c r="E19" s="7" t="s">
        <v>2310</v>
      </c>
      <c r="F19" s="7" t="s">
        <v>2311</v>
      </c>
      <c r="G19" s="7" t="s">
        <v>351</v>
      </c>
      <c r="H19" s="7">
        <v>10</v>
      </c>
      <c r="I19" s="7" t="s">
        <v>74</v>
      </c>
      <c r="J19" s="7" t="s">
        <v>2312</v>
      </c>
      <c r="K19" s="7"/>
      <c r="L19" s="7"/>
      <c r="M19" s="7" t="s">
        <v>327</v>
      </c>
      <c r="N19" s="46"/>
      <c r="O19" s="7" t="s">
        <v>2525</v>
      </c>
      <c r="P19" s="46">
        <v>15</v>
      </c>
      <c r="Q19" s="76" t="s">
        <v>2314</v>
      </c>
      <c r="R19" s="76" t="s">
        <v>2315</v>
      </c>
    </row>
    <row r="20" spans="1:18" ht="30.75" customHeight="1">
      <c r="A20" s="7" t="s">
        <v>2316</v>
      </c>
      <c r="B20" s="83" t="s">
        <v>351</v>
      </c>
      <c r="C20" s="7">
        <v>4</v>
      </c>
      <c r="D20" s="7" t="s">
        <v>40</v>
      </c>
      <c r="E20" s="7" t="s">
        <v>2310</v>
      </c>
      <c r="F20" s="7" t="s">
        <v>2526</v>
      </c>
      <c r="G20" s="7" t="s">
        <v>351</v>
      </c>
      <c r="H20" s="7">
        <v>4</v>
      </c>
      <c r="I20" s="7" t="s">
        <v>74</v>
      </c>
      <c r="J20" s="50"/>
      <c r="K20" s="7"/>
      <c r="L20" s="7"/>
      <c r="M20" s="7" t="s">
        <v>327</v>
      </c>
      <c r="N20" s="46"/>
      <c r="O20" s="50" t="s">
        <v>2527</v>
      </c>
      <c r="P20" s="46">
        <v>16</v>
      </c>
      <c r="Q20" s="76" t="s">
        <v>2319</v>
      </c>
      <c r="R20" s="76" t="s">
        <v>2320</v>
      </c>
    </row>
    <row r="21" spans="1:18" ht="14.45">
      <c r="A21" s="22" t="s">
        <v>408</v>
      </c>
      <c r="B21" s="22" t="s">
        <v>319</v>
      </c>
      <c r="C21" s="22"/>
      <c r="D21" s="22" t="s">
        <v>66</v>
      </c>
      <c r="E21" s="22" t="s">
        <v>407</v>
      </c>
      <c r="F21" s="22" t="s">
        <v>408</v>
      </c>
      <c r="G21" s="22" t="s">
        <v>319</v>
      </c>
      <c r="H21" s="22"/>
      <c r="I21" s="22" t="s">
        <v>74</v>
      </c>
      <c r="J21" s="22" t="s">
        <v>2321</v>
      </c>
      <c r="K21" s="22"/>
      <c r="L21" s="22"/>
      <c r="M21" s="22">
        <v>-1</v>
      </c>
      <c r="N21" s="46"/>
      <c r="O21" s="37" t="s">
        <v>2528</v>
      </c>
      <c r="P21" s="46">
        <v>17</v>
      </c>
      <c r="Q21" s="76" t="s">
        <v>2323</v>
      </c>
      <c r="R21" s="76" t="s">
        <v>2324</v>
      </c>
    </row>
    <row r="22" spans="1:18" ht="14.45">
      <c r="A22" s="7" t="s">
        <v>2325</v>
      </c>
      <c r="B22" s="7" t="s">
        <v>351</v>
      </c>
      <c r="C22" s="7">
        <v>15</v>
      </c>
      <c r="D22" s="7" t="s">
        <v>40</v>
      </c>
      <c r="E22" s="7" t="s">
        <v>2310</v>
      </c>
      <c r="F22" s="7" t="s">
        <v>2326</v>
      </c>
      <c r="G22" s="7" t="s">
        <v>351</v>
      </c>
      <c r="H22" s="7">
        <v>15</v>
      </c>
      <c r="I22" s="7" t="s">
        <v>74</v>
      </c>
      <c r="J22" s="7"/>
      <c r="K22" s="7"/>
      <c r="L22" s="7"/>
      <c r="M22" s="7" t="s">
        <v>327</v>
      </c>
      <c r="N22" s="46"/>
      <c r="O22" s="7"/>
      <c r="P22" s="46">
        <v>18</v>
      </c>
      <c r="Q22" s="76" t="s">
        <v>2328</v>
      </c>
      <c r="R22" s="76" t="s">
        <v>2329</v>
      </c>
    </row>
    <row r="23" spans="1:18" ht="14.45">
      <c r="A23" s="7" t="s">
        <v>2330</v>
      </c>
      <c r="B23" s="7" t="s">
        <v>351</v>
      </c>
      <c r="C23" s="7">
        <v>16</v>
      </c>
      <c r="D23" s="7" t="s">
        <v>40</v>
      </c>
      <c r="E23" s="7" t="s">
        <v>2310</v>
      </c>
      <c r="F23" s="7" t="s">
        <v>2529</v>
      </c>
      <c r="G23" s="7" t="s">
        <v>351</v>
      </c>
      <c r="H23" s="7">
        <v>16</v>
      </c>
      <c r="I23" s="7" t="s">
        <v>74</v>
      </c>
      <c r="J23" s="7"/>
      <c r="K23" s="7"/>
      <c r="L23" s="7"/>
      <c r="M23" s="7" t="s">
        <v>327</v>
      </c>
      <c r="N23" s="46"/>
      <c r="O23" s="7"/>
      <c r="P23" s="46">
        <v>19</v>
      </c>
      <c r="Q23" s="76" t="s">
        <v>2332</v>
      </c>
      <c r="R23" s="76" t="s">
        <v>2333</v>
      </c>
    </row>
    <row r="24" spans="1:18" ht="14.45">
      <c r="A24" s="7" t="s">
        <v>2334</v>
      </c>
      <c r="B24" s="7" t="s">
        <v>351</v>
      </c>
      <c r="C24" s="7">
        <v>11</v>
      </c>
      <c r="D24" s="7" t="s">
        <v>40</v>
      </c>
      <c r="E24" s="7" t="s">
        <v>2310</v>
      </c>
      <c r="F24" s="7" t="s">
        <v>2335</v>
      </c>
      <c r="G24" s="7" t="s">
        <v>351</v>
      </c>
      <c r="H24" s="7">
        <v>11</v>
      </c>
      <c r="I24" s="7" t="s">
        <v>74</v>
      </c>
      <c r="J24" s="7"/>
      <c r="K24" s="7"/>
      <c r="L24" s="7"/>
      <c r="M24" s="7" t="s">
        <v>327</v>
      </c>
      <c r="N24" s="46"/>
      <c r="O24" s="7"/>
      <c r="P24" s="46">
        <v>20</v>
      </c>
      <c r="Q24" s="76" t="s">
        <v>2337</v>
      </c>
      <c r="R24" s="76" t="s">
        <v>2338</v>
      </c>
    </row>
    <row r="25" spans="1:18" ht="14.45">
      <c r="A25" s="7" t="s">
        <v>2339</v>
      </c>
      <c r="B25" s="7" t="s">
        <v>351</v>
      </c>
      <c r="C25" s="7">
        <v>20</v>
      </c>
      <c r="D25" s="7" t="s">
        <v>40</v>
      </c>
      <c r="E25" s="7" t="s">
        <v>2310</v>
      </c>
      <c r="F25" s="7" t="s">
        <v>2530</v>
      </c>
      <c r="G25" s="7" t="s">
        <v>351</v>
      </c>
      <c r="H25" s="7">
        <v>20</v>
      </c>
      <c r="I25" s="7" t="s">
        <v>74</v>
      </c>
      <c r="J25" s="7"/>
      <c r="K25" s="7"/>
      <c r="L25" s="7"/>
      <c r="M25" s="7" t="s">
        <v>327</v>
      </c>
      <c r="N25" s="46"/>
      <c r="O25" s="7"/>
      <c r="P25" s="46">
        <v>21</v>
      </c>
      <c r="Q25" s="76" t="s">
        <v>2342</v>
      </c>
      <c r="R25" s="76" t="s">
        <v>2343</v>
      </c>
    </row>
    <row r="26" spans="1:18" ht="14.45">
      <c r="A26" s="7" t="s">
        <v>2344</v>
      </c>
      <c r="B26" s="7" t="s">
        <v>367</v>
      </c>
      <c r="C26" s="7"/>
      <c r="D26" s="7" t="s">
        <v>40</v>
      </c>
      <c r="E26" s="7" t="s">
        <v>2310</v>
      </c>
      <c r="F26" s="7" t="s">
        <v>2345</v>
      </c>
      <c r="G26" s="7" t="s">
        <v>367</v>
      </c>
      <c r="H26" s="7"/>
      <c r="I26" s="7" t="s">
        <v>74</v>
      </c>
      <c r="J26" s="7"/>
      <c r="K26" s="7"/>
      <c r="L26" s="7"/>
      <c r="M26" s="7" t="s">
        <v>368</v>
      </c>
      <c r="N26" s="46"/>
      <c r="O26" s="7"/>
      <c r="P26" s="46">
        <v>22</v>
      </c>
      <c r="Q26" s="76" t="s">
        <v>2347</v>
      </c>
      <c r="R26" s="76" t="s">
        <v>2348</v>
      </c>
    </row>
    <row r="27" spans="1:18" ht="14.45">
      <c r="A27" s="7" t="s">
        <v>2349</v>
      </c>
      <c r="B27" s="7" t="s">
        <v>351</v>
      </c>
      <c r="C27" s="7">
        <v>50</v>
      </c>
      <c r="D27" s="7" t="s">
        <v>12</v>
      </c>
      <c r="E27" s="7" t="s">
        <v>138</v>
      </c>
      <c r="F27" s="7" t="s">
        <v>2531</v>
      </c>
      <c r="G27" s="7" t="s">
        <v>351</v>
      </c>
      <c r="H27" s="7">
        <v>50</v>
      </c>
      <c r="I27" s="7" t="s">
        <v>74</v>
      </c>
      <c r="J27" s="7"/>
      <c r="K27" s="7"/>
      <c r="L27" s="7"/>
      <c r="M27" s="7" t="s">
        <v>327</v>
      </c>
      <c r="N27" s="46"/>
      <c r="O27" s="7"/>
      <c r="P27" s="46">
        <v>23</v>
      </c>
      <c r="Q27" s="76" t="s">
        <v>2352</v>
      </c>
      <c r="R27" s="76" t="s">
        <v>2353</v>
      </c>
    </row>
    <row r="28" spans="1:18" ht="14.45">
      <c r="A28" s="7" t="s">
        <v>2354</v>
      </c>
      <c r="B28" s="7" t="s">
        <v>351</v>
      </c>
      <c r="C28" s="7">
        <v>50</v>
      </c>
      <c r="D28" s="7" t="s">
        <v>12</v>
      </c>
      <c r="E28" s="7" t="s">
        <v>138</v>
      </c>
      <c r="F28" s="7" t="s">
        <v>2532</v>
      </c>
      <c r="G28" s="7" t="s">
        <v>351</v>
      </c>
      <c r="H28" s="7">
        <v>50</v>
      </c>
      <c r="I28" s="7" t="s">
        <v>74</v>
      </c>
      <c r="J28" s="7"/>
      <c r="K28" s="7"/>
      <c r="L28" s="7"/>
      <c r="M28" s="7" t="s">
        <v>327</v>
      </c>
      <c r="N28" s="46"/>
      <c r="O28" s="7"/>
      <c r="P28" s="46">
        <v>24</v>
      </c>
      <c r="Q28" s="76" t="s">
        <v>2356</v>
      </c>
      <c r="R28" s="76" t="s">
        <v>2357</v>
      </c>
    </row>
    <row r="29" spans="1:18" ht="101.45">
      <c r="A29" s="7" t="s">
        <v>2358</v>
      </c>
      <c r="B29" s="7" t="s">
        <v>351</v>
      </c>
      <c r="C29" s="7">
        <v>255</v>
      </c>
      <c r="D29" s="7" t="s">
        <v>12</v>
      </c>
      <c r="E29" s="7" t="s">
        <v>138</v>
      </c>
      <c r="F29" s="7" t="s">
        <v>10</v>
      </c>
      <c r="G29" s="7" t="s">
        <v>351</v>
      </c>
      <c r="H29" s="7">
        <v>-1</v>
      </c>
      <c r="I29" s="7" t="s">
        <v>74</v>
      </c>
      <c r="J29" s="50" t="s">
        <v>2359</v>
      </c>
      <c r="K29" s="7"/>
      <c r="L29" s="7"/>
      <c r="M29" s="7" t="s">
        <v>327</v>
      </c>
      <c r="N29" s="46"/>
      <c r="O29" s="7" t="s">
        <v>2533</v>
      </c>
      <c r="P29" s="46">
        <v>25</v>
      </c>
      <c r="Q29" s="76" t="s">
        <v>2361</v>
      </c>
      <c r="R29" s="76" t="s">
        <v>2362</v>
      </c>
    </row>
    <row r="30" spans="1:18" ht="23.25" customHeight="1">
      <c r="A30" s="7" t="s">
        <v>2363</v>
      </c>
      <c r="B30" s="7" t="s">
        <v>351</v>
      </c>
      <c r="C30" s="7">
        <v>50</v>
      </c>
      <c r="D30" s="7" t="s">
        <v>12</v>
      </c>
      <c r="E30" s="7" t="s">
        <v>138</v>
      </c>
      <c r="F30" s="7" t="s">
        <v>2364</v>
      </c>
      <c r="G30" s="7" t="s">
        <v>351</v>
      </c>
      <c r="H30" s="7">
        <v>50</v>
      </c>
      <c r="I30" s="7" t="s">
        <v>74</v>
      </c>
      <c r="J30" s="7"/>
      <c r="K30" s="7"/>
      <c r="L30" s="7"/>
      <c r="M30" s="7" t="s">
        <v>327</v>
      </c>
      <c r="N30" s="46"/>
      <c r="O30" s="81" t="s">
        <v>2534</v>
      </c>
      <c r="P30" s="46">
        <v>26</v>
      </c>
      <c r="Q30" s="76" t="s">
        <v>2366</v>
      </c>
      <c r="R30" s="76" t="s">
        <v>2367</v>
      </c>
    </row>
    <row r="31" spans="1:18" ht="20.25" customHeight="1">
      <c r="A31" s="7" t="s">
        <v>2368</v>
      </c>
      <c r="B31" s="7" t="s">
        <v>351</v>
      </c>
      <c r="C31" s="7">
        <v>1</v>
      </c>
      <c r="D31" s="7" t="s">
        <v>12</v>
      </c>
      <c r="E31" s="7" t="s">
        <v>138</v>
      </c>
      <c r="F31" s="7" t="s">
        <v>2535</v>
      </c>
      <c r="G31" s="7" t="s">
        <v>351</v>
      </c>
      <c r="H31" s="7">
        <v>1</v>
      </c>
      <c r="I31" s="7" t="s">
        <v>74</v>
      </c>
      <c r="J31" s="7" t="s">
        <v>2536</v>
      </c>
      <c r="K31" s="7"/>
      <c r="L31" s="7"/>
      <c r="M31" s="7" t="s">
        <v>327</v>
      </c>
      <c r="N31" s="46"/>
      <c r="O31" s="50" t="s">
        <v>2537</v>
      </c>
      <c r="P31" s="46">
        <v>27</v>
      </c>
      <c r="Q31" s="76" t="s">
        <v>2371</v>
      </c>
      <c r="R31" s="76" t="s">
        <v>2372</v>
      </c>
    </row>
    <row r="32" spans="1:18" ht="14.45">
      <c r="A32" s="7" t="s">
        <v>2374</v>
      </c>
      <c r="B32" s="7" t="s">
        <v>351</v>
      </c>
      <c r="C32" s="7">
        <v>1</v>
      </c>
      <c r="D32" s="7" t="s">
        <v>12</v>
      </c>
      <c r="E32" s="7" t="s">
        <v>138</v>
      </c>
      <c r="F32" s="7" t="s">
        <v>2538</v>
      </c>
      <c r="G32" s="7" t="s">
        <v>351</v>
      </c>
      <c r="H32" s="7">
        <v>1</v>
      </c>
      <c r="I32" s="7" t="s">
        <v>74</v>
      </c>
      <c r="J32" s="7"/>
      <c r="K32" s="7"/>
      <c r="L32" s="7"/>
      <c r="M32" s="7" t="s">
        <v>327</v>
      </c>
      <c r="N32" s="46"/>
      <c r="O32" s="7"/>
      <c r="P32" s="46">
        <v>28</v>
      </c>
      <c r="Q32" s="76" t="s">
        <v>2375</v>
      </c>
      <c r="R32" s="76" t="s">
        <v>2376</v>
      </c>
    </row>
    <row r="33" spans="1:18" ht="14.45">
      <c r="A33" s="22" t="s">
        <v>425</v>
      </c>
      <c r="B33" s="22" t="s">
        <v>319</v>
      </c>
      <c r="C33" s="22"/>
      <c r="D33" s="22" t="s">
        <v>66</v>
      </c>
      <c r="E33" s="22" t="s">
        <v>140</v>
      </c>
      <c r="F33" s="22" t="s">
        <v>425</v>
      </c>
      <c r="G33" s="22" t="s">
        <v>319</v>
      </c>
      <c r="H33" s="22"/>
      <c r="I33" s="22" t="s">
        <v>74</v>
      </c>
      <c r="J33" s="26" t="s">
        <v>2539</v>
      </c>
      <c r="K33" s="22"/>
      <c r="L33" s="22"/>
      <c r="M33" s="22">
        <v>-1</v>
      </c>
      <c r="N33" s="46"/>
      <c r="O33" s="7" t="s">
        <v>2379</v>
      </c>
      <c r="P33" s="46">
        <v>29</v>
      </c>
      <c r="Q33" s="76" t="s">
        <v>2380</v>
      </c>
      <c r="R33" s="76" t="s">
        <v>2381</v>
      </c>
    </row>
    <row r="34" spans="1:18" ht="14.45">
      <c r="A34" s="7" t="s">
        <v>2382</v>
      </c>
      <c r="B34" s="7" t="s">
        <v>346</v>
      </c>
      <c r="C34" s="7"/>
      <c r="D34" s="7" t="s">
        <v>12</v>
      </c>
      <c r="E34" s="7" t="s">
        <v>138</v>
      </c>
      <c r="F34" s="7" t="s">
        <v>2540</v>
      </c>
      <c r="G34" s="7" t="s">
        <v>346</v>
      </c>
      <c r="H34" s="7"/>
      <c r="I34" s="7" t="s">
        <v>74</v>
      </c>
      <c r="J34" s="7"/>
      <c r="K34" s="7"/>
      <c r="L34" s="7"/>
      <c r="M34" s="7" t="s">
        <v>327</v>
      </c>
      <c r="N34" s="46"/>
      <c r="O34" s="7" t="s">
        <v>2541</v>
      </c>
      <c r="P34" s="46">
        <v>30</v>
      </c>
      <c r="Q34" s="88" t="s">
        <v>2385</v>
      </c>
      <c r="R34" s="76" t="s">
        <v>2386</v>
      </c>
    </row>
    <row r="35" spans="1:18" ht="14.45">
      <c r="A35" s="7" t="s">
        <v>345</v>
      </c>
      <c r="B35" s="7" t="s">
        <v>346</v>
      </c>
      <c r="C35" s="7"/>
      <c r="D35" s="7" t="s">
        <v>12</v>
      </c>
      <c r="E35" s="7" t="s">
        <v>138</v>
      </c>
      <c r="F35" s="7" t="s">
        <v>347</v>
      </c>
      <c r="G35" s="7" t="s">
        <v>346</v>
      </c>
      <c r="H35" s="7"/>
      <c r="I35" s="7" t="s">
        <v>98</v>
      </c>
      <c r="J35" s="37" t="s">
        <v>2542</v>
      </c>
      <c r="K35" s="7"/>
      <c r="L35" s="7" t="s">
        <v>2389</v>
      </c>
      <c r="M35" s="7" t="b">
        <v>0</v>
      </c>
      <c r="N35" s="46"/>
      <c r="O35" s="7" t="s">
        <v>2390</v>
      </c>
      <c r="P35" s="46">
        <v>31</v>
      </c>
      <c r="Q35" s="76" t="s">
        <v>2391</v>
      </c>
      <c r="R35" s="76" t="s">
        <v>2392</v>
      </c>
    </row>
    <row r="36" spans="1:18" ht="14.45">
      <c r="A36" s="7" t="s">
        <v>2394</v>
      </c>
      <c r="B36" s="7" t="s">
        <v>367</v>
      </c>
      <c r="C36" s="7"/>
      <c r="D36" s="7" t="s">
        <v>12</v>
      </c>
      <c r="E36" s="7" t="s">
        <v>138</v>
      </c>
      <c r="F36" s="7" t="s">
        <v>2543</v>
      </c>
      <c r="G36" s="7" t="s">
        <v>367</v>
      </c>
      <c r="H36" s="7"/>
      <c r="I36" s="7" t="s">
        <v>74</v>
      </c>
      <c r="J36" s="7" t="s">
        <v>2544</v>
      </c>
      <c r="K36" s="7"/>
      <c r="L36" s="7"/>
      <c r="M36" s="7" t="s">
        <v>368</v>
      </c>
      <c r="N36" s="46"/>
      <c r="O36" s="7" t="s">
        <v>2545</v>
      </c>
      <c r="P36" s="46">
        <v>32</v>
      </c>
      <c r="Q36" s="76" t="s">
        <v>2396</v>
      </c>
      <c r="R36" s="76" t="s">
        <v>2397</v>
      </c>
    </row>
    <row r="37" spans="1:18" ht="46.5" customHeight="1">
      <c r="A37" s="7" t="s">
        <v>1590</v>
      </c>
      <c r="B37" s="7" t="s">
        <v>367</v>
      </c>
      <c r="C37" s="7"/>
      <c r="D37" s="7" t="s">
        <v>12</v>
      </c>
      <c r="E37" s="7" t="s">
        <v>138</v>
      </c>
      <c r="F37" s="7" t="s">
        <v>2204</v>
      </c>
      <c r="G37" s="7" t="s">
        <v>367</v>
      </c>
      <c r="H37" s="7"/>
      <c r="I37" s="7" t="s">
        <v>98</v>
      </c>
      <c r="J37" s="7" t="s">
        <v>2546</v>
      </c>
      <c r="K37" s="7"/>
      <c r="L37" s="7"/>
      <c r="M37" s="7" t="s">
        <v>368</v>
      </c>
      <c r="N37" s="46"/>
      <c r="O37" s="50" t="s">
        <v>2547</v>
      </c>
      <c r="P37" s="46">
        <v>33</v>
      </c>
      <c r="Q37" s="76" t="s">
        <v>2398</v>
      </c>
      <c r="R37" s="76" t="s">
        <v>2399</v>
      </c>
    </row>
    <row r="38" spans="1:18" ht="14.45">
      <c r="A38" s="8" t="s">
        <v>350</v>
      </c>
      <c r="B38" s="8"/>
      <c r="C38" s="8"/>
      <c r="D38" s="8" t="s">
        <v>320</v>
      </c>
      <c r="E38" s="8"/>
      <c r="F38" s="8"/>
      <c r="G38" s="8" t="s">
        <v>351</v>
      </c>
      <c r="H38" s="8">
        <v>100</v>
      </c>
      <c r="I38" s="8" t="s">
        <v>98</v>
      </c>
      <c r="J38" s="8"/>
      <c r="K38" s="8"/>
      <c r="L38" s="8"/>
      <c r="M38" s="8" t="s">
        <v>327</v>
      </c>
      <c r="N38" s="46"/>
      <c r="O38" s="7"/>
      <c r="P38" s="46">
        <v>34</v>
      </c>
      <c r="Q38" s="88" t="s">
        <v>2400</v>
      </c>
      <c r="R38" t="s">
        <v>2401</v>
      </c>
    </row>
    <row r="39" spans="1:18" ht="14.45">
      <c r="A39" s="8" t="s">
        <v>354</v>
      </c>
      <c r="B39" s="8"/>
      <c r="C39" s="8"/>
      <c r="D39" s="8" t="s">
        <v>320</v>
      </c>
      <c r="E39" s="8"/>
      <c r="F39" s="8"/>
      <c r="G39" s="8" t="s">
        <v>351</v>
      </c>
      <c r="H39" s="8">
        <v>100</v>
      </c>
      <c r="I39" s="8" t="s">
        <v>98</v>
      </c>
      <c r="J39" s="8"/>
      <c r="K39" s="8"/>
      <c r="L39" s="8"/>
      <c r="M39" s="8" t="s">
        <v>327</v>
      </c>
      <c r="N39" s="46"/>
      <c r="O39" s="7"/>
      <c r="P39" s="46">
        <v>35</v>
      </c>
      <c r="Q39" s="88" t="s">
        <v>2402</v>
      </c>
      <c r="R39" t="s">
        <v>2403</v>
      </c>
    </row>
    <row r="40" spans="1:18" ht="14.45">
      <c r="A40" s="8" t="s">
        <v>357</v>
      </c>
      <c r="B40" s="8"/>
      <c r="C40" s="8"/>
      <c r="D40" s="8" t="s">
        <v>320</v>
      </c>
      <c r="E40" s="8"/>
      <c r="F40" s="8"/>
      <c r="G40" s="8" t="s">
        <v>351</v>
      </c>
      <c r="H40" s="8">
        <v>100</v>
      </c>
      <c r="I40" s="8" t="s">
        <v>98</v>
      </c>
      <c r="J40" s="8"/>
      <c r="K40" s="8"/>
      <c r="L40" s="8"/>
      <c r="M40" s="8" t="s">
        <v>327</v>
      </c>
      <c r="N40" s="46"/>
      <c r="O40" s="7"/>
      <c r="P40" s="46">
        <v>36</v>
      </c>
      <c r="Q40" s="88" t="s">
        <v>2404</v>
      </c>
      <c r="R40" t="s">
        <v>2405</v>
      </c>
    </row>
    <row r="41" spans="1:18" ht="14.45">
      <c r="A41" s="8" t="s">
        <v>360</v>
      </c>
      <c r="B41" s="8"/>
      <c r="C41" s="8"/>
      <c r="D41" s="8" t="s">
        <v>320</v>
      </c>
      <c r="E41" s="8"/>
      <c r="F41" s="8"/>
      <c r="G41" s="8" t="s">
        <v>351</v>
      </c>
      <c r="H41" s="8">
        <v>100</v>
      </c>
      <c r="I41" s="8" t="s">
        <v>98</v>
      </c>
      <c r="J41" s="8"/>
      <c r="K41" s="8"/>
      <c r="L41" s="8"/>
      <c r="M41" s="8" t="s">
        <v>327</v>
      </c>
      <c r="N41" s="46"/>
      <c r="O41" s="7"/>
      <c r="P41" s="46">
        <v>37</v>
      </c>
      <c r="Q41" s="88" t="s">
        <v>2406</v>
      </c>
      <c r="R41" t="s">
        <v>2407</v>
      </c>
    </row>
    <row r="42" spans="1:18" ht="14.45">
      <c r="A42" s="8" t="s">
        <v>363</v>
      </c>
      <c r="B42" s="8"/>
      <c r="C42" s="8"/>
      <c r="D42" s="8" t="s">
        <v>320</v>
      </c>
      <c r="E42" s="8"/>
      <c r="F42" s="8"/>
      <c r="G42" s="8" t="s">
        <v>351</v>
      </c>
      <c r="H42" s="8">
        <v>100</v>
      </c>
      <c r="I42" s="8" t="s">
        <v>98</v>
      </c>
      <c r="J42" s="8"/>
      <c r="K42" s="8"/>
      <c r="L42" s="8"/>
      <c r="M42" s="8" t="s">
        <v>327</v>
      </c>
      <c r="N42" s="46"/>
      <c r="O42" s="7"/>
      <c r="P42" s="46">
        <v>38</v>
      </c>
      <c r="Q42" s="88" t="s">
        <v>2408</v>
      </c>
      <c r="R42" t="s">
        <v>2409</v>
      </c>
    </row>
    <row r="43" spans="1:18" ht="14.45">
      <c r="A43" s="8" t="s">
        <v>366</v>
      </c>
      <c r="B43" s="8"/>
      <c r="C43" s="8"/>
      <c r="D43" s="8" t="s">
        <v>320</v>
      </c>
      <c r="E43" s="8"/>
      <c r="F43" s="8"/>
      <c r="G43" s="8" t="s">
        <v>367</v>
      </c>
      <c r="H43" s="8"/>
      <c r="I43" s="8" t="s">
        <v>98</v>
      </c>
      <c r="J43" s="8"/>
      <c r="K43" s="8"/>
      <c r="L43" s="8"/>
      <c r="M43" s="8" t="s">
        <v>368</v>
      </c>
      <c r="N43" s="46"/>
      <c r="O43" s="7"/>
      <c r="P43" s="46">
        <v>39</v>
      </c>
      <c r="Q43" s="88" t="s">
        <v>2410</v>
      </c>
      <c r="R43" t="s">
        <v>2411</v>
      </c>
    </row>
    <row r="44" spans="1:18" ht="14.45">
      <c r="A44" s="8" t="s">
        <v>371</v>
      </c>
      <c r="B44" s="8"/>
      <c r="C44" s="8"/>
      <c r="D44" s="8" t="s">
        <v>320</v>
      </c>
      <c r="E44" s="8"/>
      <c r="F44" s="8"/>
      <c r="G44" s="8" t="s">
        <v>367</v>
      </c>
      <c r="H44" s="8"/>
      <c r="I44" s="8" t="s">
        <v>98</v>
      </c>
      <c r="J44" s="8"/>
      <c r="K44" s="8"/>
      <c r="L44" s="8"/>
      <c r="M44" s="8" t="s">
        <v>368</v>
      </c>
      <c r="N44" s="46"/>
      <c r="O44" s="7"/>
      <c r="P44" s="46">
        <v>40</v>
      </c>
      <c r="Q44" s="88" t="s">
        <v>2412</v>
      </c>
      <c r="R44" t="s">
        <v>2413</v>
      </c>
    </row>
    <row r="45" spans="1:18" ht="14.45">
      <c r="A45" s="8" t="s">
        <v>374</v>
      </c>
      <c r="B45" s="8"/>
      <c r="C45" s="8"/>
      <c r="D45" s="8" t="s">
        <v>320</v>
      </c>
      <c r="E45" s="8"/>
      <c r="F45" s="8"/>
      <c r="G45" s="8" t="s">
        <v>351</v>
      </c>
      <c r="H45" s="8">
        <v>100</v>
      </c>
      <c r="I45" s="8" t="s">
        <v>98</v>
      </c>
      <c r="J45" s="8"/>
      <c r="K45" s="8"/>
      <c r="L45" s="8"/>
      <c r="M45" s="8" t="s">
        <v>327</v>
      </c>
      <c r="N45" s="46"/>
      <c r="O45" s="7"/>
      <c r="P45" s="46">
        <v>41</v>
      </c>
      <c r="Q45" s="88" t="s">
        <v>2414</v>
      </c>
      <c r="R45" t="s">
        <v>2415</v>
      </c>
    </row>
    <row r="48" spans="1:18" ht="14.45">
      <c r="A48" s="21"/>
      <c r="B48" s="21"/>
      <c r="C48" s="21"/>
    </row>
    <row r="49" spans="1:3" ht="14.45">
      <c r="A49" s="21" t="s">
        <v>1032</v>
      </c>
      <c r="B49" s="21"/>
      <c r="C49" s="21"/>
    </row>
    <row r="50" spans="1:3" ht="14.45">
      <c r="A50" s="35" t="s">
        <v>2548</v>
      </c>
      <c r="B50" s="35"/>
      <c r="C50" s="35"/>
    </row>
    <row r="51" spans="1:3" ht="14.45">
      <c r="A51" s="35" t="s">
        <v>2418</v>
      </c>
      <c r="B51" s="35"/>
      <c r="C51" s="35"/>
    </row>
    <row r="52" spans="1:3" ht="14.45">
      <c r="A52" t="s">
        <v>2549</v>
      </c>
    </row>
    <row r="53" spans="1:3" ht="14.45">
      <c r="A53" t="s">
        <v>2550</v>
      </c>
    </row>
    <row r="54" spans="1:3" ht="14.45">
      <c r="A54" t="s">
        <v>2420</v>
      </c>
    </row>
    <row r="55" spans="1:3" ht="14.45">
      <c r="A55" t="s">
        <v>2551</v>
      </c>
    </row>
    <row r="57" spans="1:3" ht="14.45">
      <c r="A57" s="21" t="s">
        <v>1698</v>
      </c>
      <c r="B57" s="21"/>
      <c r="C57" s="21"/>
    </row>
    <row r="58" spans="1:3" ht="14.45">
      <c r="A58" s="36" t="s">
        <v>2230</v>
      </c>
      <c r="B58" s="36"/>
      <c r="C58" s="36"/>
    </row>
    <row r="59" spans="1:3" ht="14.45">
      <c r="A59" s="103"/>
      <c r="B59" s="103"/>
      <c r="C59" s="103"/>
    </row>
    <row r="62" spans="1:3" ht="14.45">
      <c r="A62" s="102"/>
      <c r="B62" s="102"/>
      <c r="C62" s="102"/>
    </row>
  </sheetData>
  <sortState xmlns:xlrd2="http://schemas.microsoft.com/office/spreadsheetml/2017/richdata2" ref="A3:P45">
    <sortCondition ref="P3:P45"/>
  </sortState>
  <conditionalFormatting sqref="Q3:Q45">
    <cfRule type="expression" dxfId="95" priority="1">
      <formula>$L3="Y"</formula>
    </cfRule>
    <cfRule type="expression" dxfId="94" priority="2">
      <formula>$J3="Foreign"</formula>
    </cfRule>
    <cfRule type="expression" dxfId="93" priority="3">
      <formula>$J3="Business"</formula>
    </cfRule>
    <cfRule type="expression" dxfId="92" priority="4">
      <formula>$J3="Primary"</formula>
    </cfRule>
  </conditionalFormatting>
  <conditionalFormatting sqref="Q3:Q45">
    <cfRule type="duplicateValues" dxfId="91" priority="431"/>
  </conditionalFormatting>
  <hyperlinks>
    <hyperlink ref="A58" location="'Clients to Migrate'!A1" display="See Clients to Migrate sheet" xr:uid="{A7DB732B-6DE9-45E9-85E5-EB2ED38373CC}"/>
  </hyperlink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00B0F0"/>
  </sheetPr>
  <dimension ref="A1:R33"/>
  <sheetViews>
    <sheetView workbookViewId="0">
      <pane xSplit="1" ySplit="2" topLeftCell="B3" activePane="bottomRight" state="frozen"/>
      <selection pane="bottomRight" activeCell="G7" sqref="G7"/>
      <selection pane="bottomLeft" activeCell="A3" sqref="A3"/>
      <selection pane="topRight" activeCell="B1" sqref="B1"/>
    </sheetView>
  </sheetViews>
  <sheetFormatPr defaultRowHeight="15" customHeight="1"/>
  <cols>
    <col min="1" max="1" width="46.28515625" customWidth="1"/>
    <col min="2" max="2" width="16.85546875" customWidth="1"/>
    <col min="3" max="3" width="15" customWidth="1"/>
    <col min="4" max="6" width="20.7109375" customWidth="1"/>
    <col min="7" max="9" width="15.7109375" customWidth="1"/>
    <col min="10" max="13" width="20.7109375" customWidth="1"/>
    <col min="14" max="14" width="15.7109375" style="44" bestFit="1" customWidth="1"/>
    <col min="15" max="15" width="34.85546875" customWidth="1"/>
    <col min="16" max="16" width="17.28515625" style="44" bestFit="1" customWidth="1"/>
    <col min="17" max="17" width="36.5703125" bestFit="1" customWidth="1"/>
    <col min="18" max="18" width="41.7109375" bestFit="1" customWidth="1"/>
  </cols>
  <sheetData>
    <row r="1" spans="1:18" ht="60" customHeight="1">
      <c r="A1" s="1" t="s">
        <v>149</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1715</v>
      </c>
      <c r="B3" s="6"/>
      <c r="C3" s="6"/>
      <c r="D3" s="6" t="s">
        <v>320</v>
      </c>
      <c r="E3" s="6"/>
      <c r="F3" s="6"/>
      <c r="G3" s="6" t="s">
        <v>319</v>
      </c>
      <c r="H3" s="6"/>
      <c r="I3" s="6" t="s">
        <v>98</v>
      </c>
      <c r="J3" s="6" t="s">
        <v>2552</v>
      </c>
      <c r="K3" s="6"/>
      <c r="L3" s="6"/>
      <c r="M3" s="6">
        <v>-1</v>
      </c>
      <c r="N3" s="46"/>
      <c r="O3" s="7"/>
      <c r="P3" s="46">
        <v>1</v>
      </c>
      <c r="Q3" s="88" t="s">
        <v>2553</v>
      </c>
      <c r="R3" t="s">
        <v>2554</v>
      </c>
    </row>
    <row r="4" spans="1:18" ht="14.45">
      <c r="A4" s="9" t="s">
        <v>2555</v>
      </c>
      <c r="B4" s="9" t="s">
        <v>351</v>
      </c>
      <c r="C4" s="9">
        <v>10</v>
      </c>
      <c r="D4" s="9" t="s">
        <v>12</v>
      </c>
      <c r="E4" s="9" t="s">
        <v>150</v>
      </c>
      <c r="F4" s="9" t="s">
        <v>2556</v>
      </c>
      <c r="G4" s="9" t="s">
        <v>351</v>
      </c>
      <c r="H4" s="9">
        <v>10</v>
      </c>
      <c r="I4" s="9" t="s">
        <v>98</v>
      </c>
      <c r="J4" s="9" t="s">
        <v>2557</v>
      </c>
      <c r="K4" s="9"/>
      <c r="L4" s="9"/>
      <c r="M4" s="9"/>
      <c r="N4" s="46"/>
      <c r="O4" s="7" t="s">
        <v>2558</v>
      </c>
      <c r="P4" s="46">
        <v>2</v>
      </c>
      <c r="Q4" s="76" t="s">
        <v>2559</v>
      </c>
      <c r="R4" s="76" t="s">
        <v>2560</v>
      </c>
    </row>
    <row r="5" spans="1:18" ht="21" customHeight="1">
      <c r="A5" s="9" t="s">
        <v>487</v>
      </c>
      <c r="B5" s="9" t="s">
        <v>325</v>
      </c>
      <c r="C5" s="9">
        <v>10</v>
      </c>
      <c r="D5" s="9" t="s">
        <v>12</v>
      </c>
      <c r="E5" s="9"/>
      <c r="F5" s="9"/>
      <c r="G5" s="9" t="s">
        <v>325</v>
      </c>
      <c r="H5" s="9">
        <v>10</v>
      </c>
      <c r="I5" s="9" t="s">
        <v>98</v>
      </c>
      <c r="J5" s="9" t="s">
        <v>2561</v>
      </c>
      <c r="K5" s="9"/>
      <c r="L5" s="9" t="s">
        <v>2562</v>
      </c>
      <c r="M5" s="9"/>
      <c r="N5" s="46"/>
      <c r="O5" s="50" t="s">
        <v>2563</v>
      </c>
      <c r="P5" s="46">
        <v>3</v>
      </c>
      <c r="Q5" s="76" t="s">
        <v>2564</v>
      </c>
      <c r="R5" s="76" t="s">
        <v>2565</v>
      </c>
    </row>
    <row r="6" spans="1:18" ht="14.45">
      <c r="A6" s="9" t="s">
        <v>2566</v>
      </c>
      <c r="B6" s="9" t="s">
        <v>367</v>
      </c>
      <c r="C6" s="9"/>
      <c r="D6" s="9" t="s">
        <v>12</v>
      </c>
      <c r="E6" s="9" t="s">
        <v>150</v>
      </c>
      <c r="F6" s="9" t="s">
        <v>2567</v>
      </c>
      <c r="G6" s="9" t="s">
        <v>367</v>
      </c>
      <c r="H6" s="9"/>
      <c r="I6" s="9" t="s">
        <v>98</v>
      </c>
      <c r="J6" s="9"/>
      <c r="K6" s="9"/>
      <c r="L6" s="9"/>
      <c r="M6" s="9"/>
      <c r="N6" s="46"/>
      <c r="O6" s="7"/>
      <c r="P6" s="46">
        <v>4</v>
      </c>
      <c r="Q6" s="76" t="s">
        <v>2568</v>
      </c>
      <c r="R6" s="76" t="s">
        <v>2569</v>
      </c>
    </row>
    <row r="7" spans="1:18" ht="18.75" customHeight="1">
      <c r="A7" s="7" t="s">
        <v>2570</v>
      </c>
      <c r="B7" s="7" t="s">
        <v>367</v>
      </c>
      <c r="C7" s="7"/>
      <c r="D7" s="7" t="s">
        <v>12</v>
      </c>
      <c r="E7" s="7" t="s">
        <v>150</v>
      </c>
      <c r="F7" s="7" t="s">
        <v>2571</v>
      </c>
      <c r="G7" s="7" t="s">
        <v>367</v>
      </c>
      <c r="H7" s="7"/>
      <c r="I7" s="7" t="s">
        <v>74</v>
      </c>
      <c r="J7" s="7"/>
      <c r="K7" s="7"/>
      <c r="L7" s="7"/>
      <c r="M7" s="7" t="s">
        <v>368</v>
      </c>
      <c r="N7" s="46"/>
      <c r="O7" s="50" t="s">
        <v>2572</v>
      </c>
      <c r="P7" s="46">
        <v>5</v>
      </c>
      <c r="Q7" s="76" t="s">
        <v>2573</v>
      </c>
      <c r="R7" s="76" t="s">
        <v>2574</v>
      </c>
    </row>
    <row r="8" spans="1:18" ht="14.45">
      <c r="A8" s="22" t="s">
        <v>479</v>
      </c>
      <c r="B8" s="22" t="s">
        <v>319</v>
      </c>
      <c r="C8" s="22"/>
      <c r="D8" s="22" t="s">
        <v>66</v>
      </c>
      <c r="E8" s="22" t="s">
        <v>146</v>
      </c>
      <c r="F8" s="22" t="s">
        <v>479</v>
      </c>
      <c r="G8" s="22" t="s">
        <v>319</v>
      </c>
      <c r="H8" s="22"/>
      <c r="I8" s="22" t="s">
        <v>74</v>
      </c>
      <c r="J8" s="22" t="s">
        <v>2575</v>
      </c>
      <c r="K8" s="22"/>
      <c r="L8" s="22"/>
      <c r="M8" s="22">
        <v>-1</v>
      </c>
      <c r="N8" s="46"/>
      <c r="O8" s="7" t="s">
        <v>2576</v>
      </c>
      <c r="P8" s="46">
        <v>6</v>
      </c>
      <c r="Q8" s="76" t="s">
        <v>2577</v>
      </c>
      <c r="R8" s="76" t="s">
        <v>2578</v>
      </c>
    </row>
    <row r="9" spans="1:18" ht="14.45">
      <c r="A9" s="22" t="s">
        <v>504</v>
      </c>
      <c r="B9" s="22" t="s">
        <v>351</v>
      </c>
      <c r="C9" s="22">
        <v>5</v>
      </c>
      <c r="D9" s="22" t="s">
        <v>12</v>
      </c>
      <c r="E9" s="22" t="s">
        <v>150</v>
      </c>
      <c r="F9" s="22" t="s">
        <v>587</v>
      </c>
      <c r="G9" s="22" t="s">
        <v>351</v>
      </c>
      <c r="H9" s="22">
        <v>10</v>
      </c>
      <c r="I9" s="22" t="s">
        <v>74</v>
      </c>
      <c r="J9" s="22"/>
      <c r="K9" s="22"/>
      <c r="L9" s="22"/>
      <c r="M9" s="22" t="s">
        <v>327</v>
      </c>
      <c r="N9" s="46"/>
      <c r="O9" s="7" t="s">
        <v>2579</v>
      </c>
      <c r="P9" s="46">
        <v>7</v>
      </c>
      <c r="Q9" s="76" t="s">
        <v>2580</v>
      </c>
      <c r="R9" s="76" t="s">
        <v>2581</v>
      </c>
    </row>
    <row r="10" spans="1:18" ht="14.45">
      <c r="A10" s="7" t="s">
        <v>2582</v>
      </c>
      <c r="B10" s="7" t="s">
        <v>351</v>
      </c>
      <c r="C10" s="7">
        <v>10</v>
      </c>
      <c r="D10" s="7" t="s">
        <v>12</v>
      </c>
      <c r="E10" s="7" t="s">
        <v>150</v>
      </c>
      <c r="F10" s="7" t="s">
        <v>2583</v>
      </c>
      <c r="G10" s="7" t="s">
        <v>351</v>
      </c>
      <c r="H10" s="7">
        <v>10</v>
      </c>
      <c r="I10" s="7" t="s">
        <v>74</v>
      </c>
      <c r="J10" s="7"/>
      <c r="K10" s="7"/>
      <c r="L10" s="7"/>
      <c r="M10" s="7" t="s">
        <v>327</v>
      </c>
      <c r="N10" s="46"/>
      <c r="O10" s="7"/>
      <c r="P10" s="46">
        <v>8</v>
      </c>
      <c r="Q10" s="76" t="s">
        <v>2584</v>
      </c>
      <c r="R10" s="76" t="s">
        <v>2585</v>
      </c>
    </row>
    <row r="11" spans="1:18" ht="14.45">
      <c r="A11" s="7" t="s">
        <v>2586</v>
      </c>
      <c r="B11" s="7" t="s">
        <v>351</v>
      </c>
      <c r="C11" s="7">
        <v>20</v>
      </c>
      <c r="D11" s="7" t="s">
        <v>12</v>
      </c>
      <c r="E11" s="7" t="s">
        <v>150</v>
      </c>
      <c r="F11" s="7" t="s">
        <v>3</v>
      </c>
      <c r="G11" s="7" t="s">
        <v>351</v>
      </c>
      <c r="H11" s="7">
        <v>20</v>
      </c>
      <c r="I11" s="7" t="s">
        <v>74</v>
      </c>
      <c r="J11" s="7"/>
      <c r="K11" s="7"/>
      <c r="L11" s="7"/>
      <c r="M11" s="7" t="s">
        <v>327</v>
      </c>
      <c r="N11" s="46"/>
      <c r="O11" s="7"/>
      <c r="P11" s="46">
        <v>9</v>
      </c>
      <c r="Q11" s="76" t="s">
        <v>2587</v>
      </c>
      <c r="R11" s="76" t="s">
        <v>2588</v>
      </c>
    </row>
    <row r="12" spans="1:18" ht="14.45">
      <c r="A12" s="7" t="s">
        <v>2589</v>
      </c>
      <c r="B12" s="7" t="s">
        <v>351</v>
      </c>
      <c r="C12" s="7">
        <v>40</v>
      </c>
      <c r="D12" s="7" t="s">
        <v>12</v>
      </c>
      <c r="E12" s="7" t="s">
        <v>150</v>
      </c>
      <c r="F12" s="7" t="s">
        <v>2590</v>
      </c>
      <c r="G12" s="7" t="s">
        <v>351</v>
      </c>
      <c r="H12" s="7">
        <v>40</v>
      </c>
      <c r="I12" s="7" t="s">
        <v>74</v>
      </c>
      <c r="J12" s="7"/>
      <c r="K12" s="7"/>
      <c r="L12" s="7"/>
      <c r="M12" s="7" t="s">
        <v>327</v>
      </c>
      <c r="N12" s="46"/>
      <c r="O12" s="7"/>
      <c r="P12" s="46">
        <v>10</v>
      </c>
      <c r="Q12" s="76" t="s">
        <v>2591</v>
      </c>
      <c r="R12" s="76" t="s">
        <v>2592</v>
      </c>
    </row>
    <row r="13" spans="1:18" ht="14.45">
      <c r="A13" s="83" t="s">
        <v>345</v>
      </c>
      <c r="B13" s="83" t="s">
        <v>346</v>
      </c>
      <c r="C13" s="83"/>
      <c r="D13" s="83" t="s">
        <v>12</v>
      </c>
      <c r="E13" s="83" t="s">
        <v>150</v>
      </c>
      <c r="F13" s="83" t="s">
        <v>2571</v>
      </c>
      <c r="G13" s="83" t="s">
        <v>346</v>
      </c>
      <c r="H13" s="83"/>
      <c r="I13" s="83" t="s">
        <v>98</v>
      </c>
      <c r="J13" s="83" t="s">
        <v>2593</v>
      </c>
      <c r="K13" s="83"/>
      <c r="L13" s="83"/>
      <c r="M13" s="83">
        <v>-1</v>
      </c>
      <c r="N13" s="46"/>
      <c r="O13" s="7"/>
      <c r="P13" s="46">
        <v>11</v>
      </c>
      <c r="Q13" s="76" t="s">
        <v>2594</v>
      </c>
      <c r="R13" s="76" t="s">
        <v>2595</v>
      </c>
    </row>
    <row r="14" spans="1:18" ht="14.45">
      <c r="A14" s="7" t="s">
        <v>1590</v>
      </c>
      <c r="B14" s="7" t="s">
        <v>367</v>
      </c>
      <c r="C14" s="7"/>
      <c r="D14" s="7" t="s">
        <v>12</v>
      </c>
      <c r="E14" s="7" t="s">
        <v>150</v>
      </c>
      <c r="F14" s="7" t="s">
        <v>2469</v>
      </c>
      <c r="G14" s="7" t="s">
        <v>367</v>
      </c>
      <c r="H14" s="7"/>
      <c r="I14" s="7" t="s">
        <v>74</v>
      </c>
      <c r="J14" s="7"/>
      <c r="K14" s="7"/>
      <c r="L14" s="7"/>
      <c r="M14" s="7" t="s">
        <v>368</v>
      </c>
      <c r="N14" s="46"/>
      <c r="O14" s="7"/>
      <c r="P14" s="46">
        <v>12</v>
      </c>
      <c r="Q14" s="76" t="s">
        <v>2596</v>
      </c>
      <c r="R14" s="76" t="s">
        <v>2597</v>
      </c>
    </row>
    <row r="15" spans="1:18" ht="14.45">
      <c r="A15" s="8" t="s">
        <v>350</v>
      </c>
      <c r="B15" s="8"/>
      <c r="C15" s="8"/>
      <c r="D15" s="8" t="s">
        <v>320</v>
      </c>
      <c r="E15" s="8"/>
      <c r="F15" s="8"/>
      <c r="G15" s="8" t="s">
        <v>351</v>
      </c>
      <c r="H15" s="8">
        <v>100</v>
      </c>
      <c r="I15" s="8" t="s">
        <v>98</v>
      </c>
      <c r="J15" s="8"/>
      <c r="K15" s="8"/>
      <c r="L15" s="8"/>
      <c r="M15" s="8" t="s">
        <v>327</v>
      </c>
      <c r="N15" s="46"/>
      <c r="O15" s="7"/>
      <c r="P15" s="46">
        <v>13</v>
      </c>
      <c r="Q15" s="88" t="s">
        <v>2598</v>
      </c>
      <c r="R15" t="s">
        <v>2599</v>
      </c>
    </row>
    <row r="16" spans="1:18" ht="14.45">
      <c r="A16" s="8" t="s">
        <v>354</v>
      </c>
      <c r="B16" s="8"/>
      <c r="C16" s="8"/>
      <c r="D16" s="8" t="s">
        <v>320</v>
      </c>
      <c r="E16" s="8"/>
      <c r="F16" s="8"/>
      <c r="G16" s="8" t="s">
        <v>351</v>
      </c>
      <c r="H16" s="8">
        <v>100</v>
      </c>
      <c r="I16" s="8" t="s">
        <v>98</v>
      </c>
      <c r="J16" s="8"/>
      <c r="K16" s="8"/>
      <c r="L16" s="8"/>
      <c r="M16" s="8" t="s">
        <v>327</v>
      </c>
      <c r="N16" s="46"/>
      <c r="O16" s="7"/>
      <c r="P16" s="46">
        <v>14</v>
      </c>
      <c r="Q16" s="88" t="s">
        <v>2600</v>
      </c>
      <c r="R16" t="s">
        <v>2601</v>
      </c>
    </row>
    <row r="17" spans="1:18" ht="14.45">
      <c r="A17" s="8" t="s">
        <v>357</v>
      </c>
      <c r="B17" s="8"/>
      <c r="C17" s="8"/>
      <c r="D17" s="8" t="s">
        <v>320</v>
      </c>
      <c r="E17" s="8"/>
      <c r="F17" s="8"/>
      <c r="G17" s="8" t="s">
        <v>351</v>
      </c>
      <c r="H17" s="8">
        <v>100</v>
      </c>
      <c r="I17" s="8" t="s">
        <v>98</v>
      </c>
      <c r="J17" s="8"/>
      <c r="K17" s="8"/>
      <c r="L17" s="8"/>
      <c r="M17" s="8" t="s">
        <v>327</v>
      </c>
      <c r="N17" s="46"/>
      <c r="O17" s="7"/>
      <c r="P17" s="46">
        <v>15</v>
      </c>
      <c r="Q17" s="88" t="s">
        <v>2602</v>
      </c>
      <c r="R17" t="s">
        <v>2603</v>
      </c>
    </row>
    <row r="18" spans="1:18" ht="14.45">
      <c r="A18" s="8" t="s">
        <v>360</v>
      </c>
      <c r="B18" s="8"/>
      <c r="C18" s="8"/>
      <c r="D18" s="8" t="s">
        <v>320</v>
      </c>
      <c r="E18" s="8"/>
      <c r="F18" s="8"/>
      <c r="G18" s="8" t="s">
        <v>351</v>
      </c>
      <c r="H18" s="8">
        <v>100</v>
      </c>
      <c r="I18" s="8" t="s">
        <v>98</v>
      </c>
      <c r="J18" s="8"/>
      <c r="K18" s="8"/>
      <c r="L18" s="8"/>
      <c r="M18" s="8" t="s">
        <v>327</v>
      </c>
      <c r="N18" s="46"/>
      <c r="O18" s="7"/>
      <c r="P18" s="46">
        <v>16</v>
      </c>
      <c r="Q18" s="88" t="s">
        <v>2604</v>
      </c>
      <c r="R18" t="s">
        <v>2605</v>
      </c>
    </row>
    <row r="19" spans="1:18" ht="14.45">
      <c r="A19" s="8" t="s">
        <v>363</v>
      </c>
      <c r="B19" s="8"/>
      <c r="C19" s="8"/>
      <c r="D19" s="8" t="s">
        <v>320</v>
      </c>
      <c r="E19" s="8"/>
      <c r="F19" s="8"/>
      <c r="G19" s="8" t="s">
        <v>351</v>
      </c>
      <c r="H19" s="8">
        <v>100</v>
      </c>
      <c r="I19" s="8" t="s">
        <v>98</v>
      </c>
      <c r="J19" s="8"/>
      <c r="K19" s="8"/>
      <c r="L19" s="8"/>
      <c r="M19" s="8" t="s">
        <v>327</v>
      </c>
      <c r="N19" s="46"/>
      <c r="O19" s="7"/>
      <c r="P19" s="46">
        <v>17</v>
      </c>
      <c r="Q19" s="88" t="s">
        <v>2606</v>
      </c>
      <c r="R19" t="s">
        <v>2607</v>
      </c>
    </row>
    <row r="20" spans="1:18" ht="14.45">
      <c r="A20" s="8" t="s">
        <v>366</v>
      </c>
      <c r="B20" s="8"/>
      <c r="C20" s="8"/>
      <c r="D20" s="8" t="s">
        <v>320</v>
      </c>
      <c r="E20" s="8"/>
      <c r="F20" s="8"/>
      <c r="G20" s="8" t="s">
        <v>367</v>
      </c>
      <c r="H20" s="8"/>
      <c r="I20" s="8" t="s">
        <v>98</v>
      </c>
      <c r="J20" s="8"/>
      <c r="K20" s="8"/>
      <c r="L20" s="8"/>
      <c r="M20" s="8" t="s">
        <v>368</v>
      </c>
      <c r="N20" s="46"/>
      <c r="O20" s="7"/>
      <c r="P20" s="46">
        <v>18</v>
      </c>
      <c r="Q20" s="88" t="s">
        <v>2608</v>
      </c>
      <c r="R20" t="s">
        <v>2609</v>
      </c>
    </row>
    <row r="21" spans="1:18" ht="14.45">
      <c r="A21" s="8" t="s">
        <v>371</v>
      </c>
      <c r="B21" s="8"/>
      <c r="C21" s="8"/>
      <c r="D21" s="8" t="s">
        <v>320</v>
      </c>
      <c r="E21" s="8"/>
      <c r="F21" s="8"/>
      <c r="G21" s="8" t="s">
        <v>367</v>
      </c>
      <c r="H21" s="8"/>
      <c r="I21" s="8" t="s">
        <v>98</v>
      </c>
      <c r="J21" s="8"/>
      <c r="K21" s="8"/>
      <c r="L21" s="8"/>
      <c r="M21" s="8" t="s">
        <v>368</v>
      </c>
      <c r="N21" s="46"/>
      <c r="O21" s="7"/>
      <c r="P21" s="46">
        <v>19</v>
      </c>
      <c r="Q21" s="88" t="s">
        <v>2610</v>
      </c>
      <c r="R21" t="s">
        <v>2611</v>
      </c>
    </row>
    <row r="22" spans="1:18" ht="14.45">
      <c r="A22" s="8" t="s">
        <v>374</v>
      </c>
      <c r="B22" s="8"/>
      <c r="C22" s="8"/>
      <c r="D22" s="8" t="s">
        <v>320</v>
      </c>
      <c r="E22" s="8"/>
      <c r="F22" s="8"/>
      <c r="G22" s="8" t="s">
        <v>351</v>
      </c>
      <c r="H22" s="8">
        <v>100</v>
      </c>
      <c r="I22" s="8" t="s">
        <v>98</v>
      </c>
      <c r="J22" s="8"/>
      <c r="K22" s="8"/>
      <c r="L22" s="8"/>
      <c r="M22" s="8" t="s">
        <v>327</v>
      </c>
      <c r="N22" s="46"/>
      <c r="O22" s="7"/>
      <c r="P22" s="46">
        <v>20</v>
      </c>
      <c r="Q22" s="88" t="s">
        <v>2612</v>
      </c>
      <c r="R22" t="s">
        <v>2613</v>
      </c>
    </row>
    <row r="24" spans="1:18" ht="14.45">
      <c r="A24" s="40" t="s">
        <v>2614</v>
      </c>
      <c r="B24" s="40"/>
      <c r="C24" s="40"/>
    </row>
    <row r="25" spans="1:18" ht="14.45">
      <c r="A25" s="40" t="s">
        <v>2615</v>
      </c>
      <c r="B25" s="40"/>
      <c r="C25" s="40"/>
    </row>
    <row r="26" spans="1:18" ht="14.45">
      <c r="A26" s="21" t="s">
        <v>2616</v>
      </c>
      <c r="B26" s="21"/>
      <c r="C26" s="21"/>
    </row>
    <row r="28" spans="1:18" ht="14.45">
      <c r="A28" s="21" t="s">
        <v>1032</v>
      </c>
      <c r="B28" s="21"/>
      <c r="C28" s="21"/>
    </row>
    <row r="29" spans="1:18" ht="14.45">
      <c r="A29" t="s">
        <v>2617</v>
      </c>
    </row>
    <row r="31" spans="1:18" ht="14.45">
      <c r="A31" s="21" t="s">
        <v>1698</v>
      </c>
      <c r="B31" s="21"/>
      <c r="C31" s="21"/>
    </row>
    <row r="32" spans="1:18" ht="14.45">
      <c r="A32" s="88"/>
      <c r="B32" s="88"/>
      <c r="C32" s="88"/>
    </row>
    <row r="33" spans="1:3" ht="14.45">
      <c r="A33" s="80"/>
      <c r="B33" s="80"/>
      <c r="C33" s="80"/>
    </row>
  </sheetData>
  <sortState xmlns:xlrd2="http://schemas.microsoft.com/office/spreadsheetml/2017/richdata2" ref="A3:P22">
    <sortCondition ref="P3:P22"/>
  </sortState>
  <conditionalFormatting sqref="Q3:Q22">
    <cfRule type="duplicateValues" dxfId="90" priority="6"/>
  </conditionalFormatting>
  <conditionalFormatting sqref="Q3:Q22">
    <cfRule type="duplicateValues" dxfId="89" priority="5"/>
  </conditionalFormatting>
  <conditionalFormatting sqref="Q3:Q22">
    <cfRule type="expression" dxfId="88" priority="1">
      <formula>$L3="Y"</formula>
    </cfRule>
    <cfRule type="expression" dxfId="87" priority="2">
      <formula>$J3="Foreign"</formula>
    </cfRule>
    <cfRule type="expression" dxfId="86" priority="3">
      <formula>$J3="Business"</formula>
    </cfRule>
    <cfRule type="expression" dxfId="85" priority="4">
      <formula>$J3="Primary"</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627BB-4464-48F0-A196-95BB4462D1D7}">
  <sheetPr codeName="Sheet51">
    <tabColor rgb="FF00B0F0"/>
  </sheetPr>
  <dimension ref="A1:R119"/>
  <sheetViews>
    <sheetView zoomScale="90" zoomScaleNormal="90" workbookViewId="0">
      <pane xSplit="1" ySplit="2" topLeftCell="D20" activePane="bottomRight" state="frozen"/>
      <selection pane="bottomRight" activeCell="J29" sqref="J29"/>
      <selection pane="bottomLeft" activeCell="A3" sqref="A3"/>
      <selection pane="topRight" activeCell="B1" sqref="B1"/>
    </sheetView>
  </sheetViews>
  <sheetFormatPr defaultRowHeight="15" customHeight="1"/>
  <cols>
    <col min="1" max="3" width="43.28515625" customWidth="1"/>
    <col min="4" max="4" width="28.28515625" customWidth="1"/>
    <col min="5" max="5" width="25.28515625" customWidth="1"/>
    <col min="6" max="6" width="25.7109375" customWidth="1"/>
    <col min="7" max="9" width="15.7109375" customWidth="1"/>
    <col min="10" max="10" width="63.140625" customWidth="1"/>
    <col min="11" max="13" width="20.7109375" customWidth="1"/>
    <col min="14" max="14" width="15.7109375" style="44" bestFit="1" customWidth="1"/>
    <col min="15" max="15" width="39.28515625" customWidth="1"/>
    <col min="16" max="16" width="17.28515625" bestFit="1" customWidth="1"/>
    <col min="17" max="17" width="39.5703125" bestFit="1" customWidth="1"/>
    <col min="18" max="18" width="40.140625" bestFit="1" customWidth="1"/>
  </cols>
  <sheetData>
    <row r="1" spans="1:18" ht="60" customHeight="1">
      <c r="A1" s="1" t="s">
        <v>189</v>
      </c>
      <c r="B1" s="1"/>
      <c r="C1" s="1"/>
      <c r="F1" s="2" t="s">
        <v>297</v>
      </c>
      <c r="K1" s="3" t="s">
        <v>298</v>
      </c>
      <c r="L1" s="4" t="s">
        <v>299</v>
      </c>
      <c r="M1" s="19" t="s">
        <v>300</v>
      </c>
      <c r="N1" s="23" t="s">
        <v>301</v>
      </c>
    </row>
    <row r="2" spans="1:18" ht="14.45">
      <c r="A2" s="5" t="s">
        <v>302</v>
      </c>
      <c r="B2" s="126" t="s">
        <v>303</v>
      </c>
      <c r="C2" s="143"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131" t="s">
        <v>1248</v>
      </c>
      <c r="B3" s="128" t="s">
        <v>319</v>
      </c>
      <c r="C3" s="128" t="s">
        <v>2618</v>
      </c>
      <c r="D3" s="137" t="s">
        <v>320</v>
      </c>
      <c r="E3" s="6"/>
      <c r="F3" s="6"/>
      <c r="G3" s="6" t="s">
        <v>319</v>
      </c>
      <c r="H3" s="6"/>
      <c r="I3" s="6" t="s">
        <v>98</v>
      </c>
      <c r="J3" s="6" t="s">
        <v>2619</v>
      </c>
      <c r="K3" s="6"/>
      <c r="L3" s="6"/>
      <c r="M3" s="6">
        <v>-1</v>
      </c>
      <c r="N3" s="46"/>
      <c r="O3" s="7"/>
      <c r="P3" s="46">
        <v>1</v>
      </c>
      <c r="Q3" s="88" t="s">
        <v>2620</v>
      </c>
      <c r="R3" t="s">
        <v>2621</v>
      </c>
    </row>
    <row r="4" spans="1:18" ht="14.45">
      <c r="A4" s="132" t="s">
        <v>1239</v>
      </c>
      <c r="B4" s="145" t="s">
        <v>351</v>
      </c>
      <c r="C4" s="145">
        <v>20</v>
      </c>
      <c r="D4" s="138" t="s">
        <v>12</v>
      </c>
      <c r="E4" s="9" t="s">
        <v>2622</v>
      </c>
      <c r="F4" s="9" t="s">
        <v>2623</v>
      </c>
      <c r="G4" s="9" t="s">
        <v>351</v>
      </c>
      <c r="H4" s="9">
        <v>20</v>
      </c>
      <c r="I4" s="9" t="s">
        <v>98</v>
      </c>
      <c r="J4" s="9"/>
      <c r="K4" s="9"/>
      <c r="L4" s="9"/>
      <c r="M4" s="9"/>
      <c r="N4" s="46"/>
      <c r="O4" s="7"/>
      <c r="P4" s="46">
        <v>2</v>
      </c>
      <c r="Q4" s="76" t="s">
        <v>2624</v>
      </c>
      <c r="R4" t="s">
        <v>2625</v>
      </c>
    </row>
    <row r="5" spans="1:18" ht="14.45">
      <c r="A5" s="132" t="s">
        <v>487</v>
      </c>
      <c r="B5" s="145" t="s">
        <v>325</v>
      </c>
      <c r="C5" s="145">
        <v>10</v>
      </c>
      <c r="D5" s="138" t="s">
        <v>12</v>
      </c>
      <c r="E5" s="9" t="s">
        <v>2622</v>
      </c>
      <c r="F5" s="9" t="s">
        <v>2155</v>
      </c>
      <c r="G5" s="9" t="s">
        <v>325</v>
      </c>
      <c r="H5" s="9">
        <v>10</v>
      </c>
      <c r="I5" s="9" t="s">
        <v>98</v>
      </c>
      <c r="J5" s="70" t="s">
        <v>2626</v>
      </c>
      <c r="K5" s="9"/>
      <c r="L5" s="9"/>
      <c r="M5" s="9"/>
      <c r="N5" s="46"/>
      <c r="O5" s="7" t="s">
        <v>2627</v>
      </c>
      <c r="P5" s="46">
        <v>3</v>
      </c>
      <c r="Q5" s="76" t="s">
        <v>2628</v>
      </c>
      <c r="R5" t="s">
        <v>2629</v>
      </c>
    </row>
    <row r="6" spans="1:18" ht="14.45">
      <c r="A6" s="133" t="s">
        <v>2630</v>
      </c>
      <c r="B6" s="129" t="s">
        <v>351</v>
      </c>
      <c r="C6" s="129">
        <v>50</v>
      </c>
      <c r="D6" s="139" t="s">
        <v>12</v>
      </c>
      <c r="E6" s="7" t="s">
        <v>2622</v>
      </c>
      <c r="F6" s="7" t="s">
        <v>2631</v>
      </c>
      <c r="G6" s="7" t="s">
        <v>431</v>
      </c>
      <c r="H6" s="7"/>
      <c r="I6" s="7" t="s">
        <v>98</v>
      </c>
      <c r="J6" s="7" t="s">
        <v>2632</v>
      </c>
      <c r="K6" s="7"/>
      <c r="L6" s="7" t="s">
        <v>942</v>
      </c>
      <c r="M6" s="7">
        <v>-1</v>
      </c>
      <c r="N6" s="46"/>
      <c r="O6" s="7"/>
      <c r="P6" s="46">
        <v>4</v>
      </c>
      <c r="Q6" s="76" t="s">
        <v>2633</v>
      </c>
      <c r="R6" t="s">
        <v>2634</v>
      </c>
    </row>
    <row r="7" spans="1:18" ht="14.45">
      <c r="A7" s="133" t="s">
        <v>2635</v>
      </c>
      <c r="B7" s="129" t="s">
        <v>325</v>
      </c>
      <c r="C7" s="129">
        <v>50</v>
      </c>
      <c r="D7" s="139" t="s">
        <v>12</v>
      </c>
      <c r="E7" s="7" t="s">
        <v>2622</v>
      </c>
      <c r="F7" s="7" t="s">
        <v>2636</v>
      </c>
      <c r="G7" s="7" t="s">
        <v>351</v>
      </c>
      <c r="H7" s="7">
        <v>20</v>
      </c>
      <c r="I7" s="7" t="s">
        <v>74</v>
      </c>
      <c r="J7" s="7"/>
      <c r="K7" s="7"/>
      <c r="L7" s="7"/>
      <c r="M7" s="7">
        <v>-1</v>
      </c>
      <c r="N7" s="46"/>
      <c r="O7" s="7" t="s">
        <v>2637</v>
      </c>
      <c r="P7" s="46">
        <v>5</v>
      </c>
      <c r="Q7" s="76" t="s">
        <v>2638</v>
      </c>
      <c r="R7" t="s">
        <v>2639</v>
      </c>
    </row>
    <row r="8" spans="1:18" ht="14.45">
      <c r="A8" s="134" t="s">
        <v>2640</v>
      </c>
      <c r="B8" s="129" t="s">
        <v>351</v>
      </c>
      <c r="C8" s="129">
        <v>255</v>
      </c>
      <c r="D8" s="140" t="s">
        <v>12</v>
      </c>
      <c r="E8" s="83" t="s">
        <v>2622</v>
      </c>
      <c r="F8" s="83" t="s">
        <v>2641</v>
      </c>
      <c r="G8" s="83" t="s">
        <v>351</v>
      </c>
      <c r="H8" s="83">
        <v>255</v>
      </c>
      <c r="I8" s="83" t="s">
        <v>98</v>
      </c>
      <c r="J8" s="83"/>
      <c r="K8" s="83"/>
      <c r="L8" s="83"/>
      <c r="M8" s="83" t="s">
        <v>327</v>
      </c>
      <c r="N8" s="46"/>
      <c r="O8" s="7"/>
      <c r="P8" s="46">
        <v>6</v>
      </c>
      <c r="Q8" s="76" t="s">
        <v>2642</v>
      </c>
      <c r="R8" t="s">
        <v>2643</v>
      </c>
    </row>
    <row r="9" spans="1:18" ht="14.45">
      <c r="A9" s="133" t="s">
        <v>2644</v>
      </c>
      <c r="B9" s="129" t="s">
        <v>351</v>
      </c>
      <c r="C9" s="129">
        <v>700</v>
      </c>
      <c r="D9" s="139" t="s">
        <v>12</v>
      </c>
      <c r="E9" s="7" t="s">
        <v>2622</v>
      </c>
      <c r="F9" s="7" t="s">
        <v>2645</v>
      </c>
      <c r="G9" s="7" t="s">
        <v>351</v>
      </c>
      <c r="H9" s="7">
        <v>700</v>
      </c>
      <c r="I9" s="7" t="s">
        <v>74</v>
      </c>
      <c r="J9" s="7"/>
      <c r="K9" s="7"/>
      <c r="L9" s="7"/>
      <c r="M9" s="7" t="s">
        <v>327</v>
      </c>
      <c r="N9" s="46"/>
      <c r="O9" s="7"/>
      <c r="P9" s="46">
        <v>7</v>
      </c>
      <c r="Q9" s="76" t="s">
        <v>2646</v>
      </c>
      <c r="R9" t="s">
        <v>2647</v>
      </c>
    </row>
    <row r="10" spans="1:18" ht="14.45">
      <c r="A10" s="133" t="s">
        <v>2648</v>
      </c>
      <c r="B10" s="129" t="s">
        <v>351</v>
      </c>
      <c r="C10" s="129">
        <v>255</v>
      </c>
      <c r="D10" s="139" t="s">
        <v>12</v>
      </c>
      <c r="E10" s="7" t="s">
        <v>2622</v>
      </c>
      <c r="F10" s="7" t="s">
        <v>2649</v>
      </c>
      <c r="G10" s="7" t="s">
        <v>351</v>
      </c>
      <c r="H10" s="7">
        <v>255</v>
      </c>
      <c r="I10" s="7" t="s">
        <v>74</v>
      </c>
      <c r="J10" s="7"/>
      <c r="K10" s="7"/>
      <c r="L10" s="7"/>
      <c r="M10" s="7" t="s">
        <v>327</v>
      </c>
      <c r="N10" s="46"/>
      <c r="O10" s="7"/>
      <c r="P10" s="46">
        <v>8</v>
      </c>
      <c r="Q10" s="76" t="s">
        <v>2650</v>
      </c>
      <c r="R10" t="s">
        <v>2651</v>
      </c>
    </row>
    <row r="11" spans="1:18" ht="14.45">
      <c r="A11" s="133" t="s">
        <v>2652</v>
      </c>
      <c r="B11" s="129" t="s">
        <v>351</v>
      </c>
      <c r="C11" s="129">
        <v>20</v>
      </c>
      <c r="D11" s="139" t="s">
        <v>12</v>
      </c>
      <c r="E11" s="7" t="s">
        <v>2622</v>
      </c>
      <c r="F11" s="7" t="s">
        <v>2653</v>
      </c>
      <c r="G11" s="7" t="s">
        <v>351</v>
      </c>
      <c r="H11" s="7">
        <v>50</v>
      </c>
      <c r="I11" s="7" t="s">
        <v>74</v>
      </c>
      <c r="J11" s="7"/>
      <c r="K11" s="7"/>
      <c r="L11" s="7"/>
      <c r="M11" s="7" t="s">
        <v>327</v>
      </c>
      <c r="N11" s="46"/>
      <c r="O11" s="7"/>
      <c r="P11" s="46">
        <v>9</v>
      </c>
      <c r="Q11" s="76" t="s">
        <v>2654</v>
      </c>
      <c r="R11" t="s">
        <v>2655</v>
      </c>
    </row>
    <row r="12" spans="1:18" ht="14.45">
      <c r="A12" s="133" t="s">
        <v>2656</v>
      </c>
      <c r="B12" s="129" t="s">
        <v>367</v>
      </c>
      <c r="C12" s="146" t="s">
        <v>2618</v>
      </c>
      <c r="D12" s="139" t="s">
        <v>45</v>
      </c>
      <c r="E12" s="7" t="s">
        <v>2657</v>
      </c>
      <c r="F12" s="7" t="s">
        <v>2658</v>
      </c>
      <c r="G12" s="7" t="s">
        <v>367</v>
      </c>
      <c r="H12" s="7"/>
      <c r="I12" s="7" t="s">
        <v>98</v>
      </c>
      <c r="J12" s="7" t="s">
        <v>2659</v>
      </c>
      <c r="K12" s="7"/>
      <c r="L12" s="7" t="s">
        <v>2660</v>
      </c>
      <c r="M12" s="7" t="s">
        <v>368</v>
      </c>
      <c r="N12" s="46"/>
      <c r="O12" s="7" t="s">
        <v>2661</v>
      </c>
      <c r="P12" s="46">
        <v>10</v>
      </c>
      <c r="Q12" s="76" t="s">
        <v>2662</v>
      </c>
      <c r="R12" t="s">
        <v>2663</v>
      </c>
    </row>
    <row r="13" spans="1:18" s="88" customFormat="1" ht="14.45">
      <c r="A13" s="134" t="s">
        <v>2664</v>
      </c>
      <c r="B13" s="129" t="s">
        <v>351</v>
      </c>
      <c r="C13" s="129">
        <v>255</v>
      </c>
      <c r="D13" s="140" t="s">
        <v>45</v>
      </c>
      <c r="E13" s="83" t="s">
        <v>2657</v>
      </c>
      <c r="F13" s="83" t="s">
        <v>1</v>
      </c>
      <c r="G13" s="83" t="s">
        <v>351</v>
      </c>
      <c r="H13" s="83">
        <v>256</v>
      </c>
      <c r="I13" s="83" t="s">
        <v>98</v>
      </c>
      <c r="J13" s="83"/>
      <c r="K13" s="83"/>
      <c r="L13" s="83" t="s">
        <v>2660</v>
      </c>
      <c r="M13" s="83" t="s">
        <v>327</v>
      </c>
      <c r="N13" s="100"/>
      <c r="O13" s="83" t="s">
        <v>2665</v>
      </c>
      <c r="P13" s="46">
        <v>11</v>
      </c>
      <c r="Q13" s="101" t="s">
        <v>2666</v>
      </c>
      <c r="R13" t="s">
        <v>2667</v>
      </c>
    </row>
    <row r="14" spans="1:18" s="88" customFormat="1" ht="14.45">
      <c r="A14" s="134" t="s">
        <v>2299</v>
      </c>
      <c r="B14" s="129" t="s">
        <v>325</v>
      </c>
      <c r="C14" s="129">
        <v>10</v>
      </c>
      <c r="D14" s="140" t="s">
        <v>45</v>
      </c>
      <c r="E14" s="83" t="s">
        <v>2657</v>
      </c>
      <c r="F14" s="83" t="s">
        <v>2235</v>
      </c>
      <c r="G14" s="83" t="s">
        <v>351</v>
      </c>
      <c r="H14" s="83">
        <v>10</v>
      </c>
      <c r="I14" s="83" t="s">
        <v>74</v>
      </c>
      <c r="J14" s="83" t="s">
        <v>2236</v>
      </c>
      <c r="K14" s="83"/>
      <c r="L14" s="83"/>
      <c r="M14" s="83"/>
      <c r="N14" s="100"/>
      <c r="O14" s="83"/>
      <c r="P14" s="46">
        <v>12</v>
      </c>
      <c r="Q14" s="101"/>
      <c r="R14" t="s">
        <v>2668</v>
      </c>
    </row>
    <row r="15" spans="1:18" s="88" customFormat="1" ht="14.45">
      <c r="A15" s="134" t="s">
        <v>2669</v>
      </c>
      <c r="B15" s="129" t="s">
        <v>351</v>
      </c>
      <c r="C15" s="129">
        <v>500</v>
      </c>
      <c r="D15" s="140" t="s">
        <v>45</v>
      </c>
      <c r="E15" s="83" t="s">
        <v>2657</v>
      </c>
      <c r="F15" s="83" t="s">
        <v>2670</v>
      </c>
      <c r="G15" s="83" t="s">
        <v>351</v>
      </c>
      <c r="H15" s="83">
        <v>-1</v>
      </c>
      <c r="I15" s="83" t="s">
        <v>74</v>
      </c>
      <c r="J15" s="83"/>
      <c r="K15" s="83"/>
      <c r="L15" s="83"/>
      <c r="M15" s="83"/>
      <c r="N15" s="100"/>
      <c r="O15" s="83"/>
      <c r="P15" s="46">
        <v>13</v>
      </c>
      <c r="Q15" s="101"/>
      <c r="R15" t="s">
        <v>2671</v>
      </c>
    </row>
    <row r="16" spans="1:18" ht="29.1">
      <c r="A16" s="135" t="s">
        <v>2672</v>
      </c>
      <c r="B16" s="130" t="s">
        <v>319</v>
      </c>
      <c r="C16" s="130" t="s">
        <v>2618</v>
      </c>
      <c r="D16" s="141" t="s">
        <v>66</v>
      </c>
      <c r="E16" s="84" t="s">
        <v>236</v>
      </c>
      <c r="F16" s="84" t="s">
        <v>927</v>
      </c>
      <c r="G16" s="84" t="s">
        <v>319</v>
      </c>
      <c r="H16" s="84"/>
      <c r="I16" s="84" t="s">
        <v>74</v>
      </c>
      <c r="J16" s="85" t="s">
        <v>2673</v>
      </c>
      <c r="K16" s="84"/>
      <c r="L16" s="84"/>
      <c r="M16" s="84">
        <v>-1</v>
      </c>
      <c r="N16" s="46"/>
      <c r="O16" s="7"/>
      <c r="P16" s="46">
        <v>14</v>
      </c>
      <c r="Q16" s="76" t="s">
        <v>2674</v>
      </c>
      <c r="R16" t="s">
        <v>2675</v>
      </c>
    </row>
    <row r="17" spans="1:18" ht="29.1">
      <c r="A17" s="135" t="s">
        <v>890</v>
      </c>
      <c r="B17" s="130" t="s">
        <v>319</v>
      </c>
      <c r="C17" s="130" t="s">
        <v>2618</v>
      </c>
      <c r="D17" s="141" t="s">
        <v>66</v>
      </c>
      <c r="E17" s="22" t="s">
        <v>233</v>
      </c>
      <c r="F17" s="84" t="s">
        <v>890</v>
      </c>
      <c r="G17" s="84" t="s">
        <v>319</v>
      </c>
      <c r="H17" s="84"/>
      <c r="I17" s="84" t="s">
        <v>74</v>
      </c>
      <c r="J17" s="85" t="s">
        <v>2676</v>
      </c>
      <c r="K17" s="84"/>
      <c r="L17" s="84" t="s">
        <v>2660</v>
      </c>
      <c r="M17" s="84">
        <v>-1</v>
      </c>
      <c r="N17" s="46"/>
      <c r="O17" s="7"/>
      <c r="P17" s="46">
        <v>15</v>
      </c>
      <c r="Q17" s="94" t="s">
        <v>2677</v>
      </c>
      <c r="R17" t="s">
        <v>2678</v>
      </c>
    </row>
    <row r="18" spans="1:18" ht="43.5">
      <c r="A18" s="136" t="s">
        <v>860</v>
      </c>
      <c r="B18" s="130" t="s">
        <v>319</v>
      </c>
      <c r="C18" s="130" t="s">
        <v>2618</v>
      </c>
      <c r="D18" s="142" t="s">
        <v>66</v>
      </c>
      <c r="E18" s="22" t="s">
        <v>228</v>
      </c>
      <c r="F18" s="22" t="s">
        <v>860</v>
      </c>
      <c r="G18" s="22" t="s">
        <v>319</v>
      </c>
      <c r="H18" s="22"/>
      <c r="I18" s="22" t="s">
        <v>74</v>
      </c>
      <c r="J18" s="26" t="s">
        <v>2679</v>
      </c>
      <c r="K18" s="22"/>
      <c r="L18" s="22" t="s">
        <v>2660</v>
      </c>
      <c r="M18" s="22">
        <v>-1</v>
      </c>
      <c r="N18" s="46"/>
      <c r="O18" s="50" t="s">
        <v>2680</v>
      </c>
      <c r="P18" s="46">
        <v>16</v>
      </c>
      <c r="Q18" s="76" t="s">
        <v>2681</v>
      </c>
      <c r="R18" t="s">
        <v>2682</v>
      </c>
    </row>
    <row r="19" spans="1:18" ht="29.1">
      <c r="A19" s="136" t="s">
        <v>2683</v>
      </c>
      <c r="B19" s="130" t="s">
        <v>319</v>
      </c>
      <c r="C19" s="130" t="s">
        <v>2618</v>
      </c>
      <c r="D19" s="142" t="s">
        <v>45</v>
      </c>
      <c r="E19" s="22" t="s">
        <v>2684</v>
      </c>
      <c r="F19" s="22" t="s">
        <v>691</v>
      </c>
      <c r="G19" s="22" t="s">
        <v>351</v>
      </c>
      <c r="H19" s="22">
        <v>256</v>
      </c>
      <c r="I19" s="22" t="s">
        <v>74</v>
      </c>
      <c r="J19" s="26" t="s">
        <v>2685</v>
      </c>
      <c r="K19" s="22"/>
      <c r="L19" s="22" t="s">
        <v>2686</v>
      </c>
      <c r="M19" s="22"/>
      <c r="N19" s="46"/>
      <c r="O19" s="50"/>
      <c r="P19" s="46">
        <v>17</v>
      </c>
      <c r="Q19" s="76"/>
      <c r="R19" t="s">
        <v>2687</v>
      </c>
    </row>
    <row r="20" spans="1:18" ht="101.45">
      <c r="A20" s="135" t="s">
        <v>2688</v>
      </c>
      <c r="B20" s="130" t="s">
        <v>351</v>
      </c>
      <c r="C20" s="130">
        <v>4</v>
      </c>
      <c r="D20" s="141" t="s">
        <v>66</v>
      </c>
      <c r="E20" s="84" t="s">
        <v>146</v>
      </c>
      <c r="F20" s="84" t="s">
        <v>483</v>
      </c>
      <c r="G20" s="84" t="s">
        <v>351</v>
      </c>
      <c r="H20" s="84">
        <v>4</v>
      </c>
      <c r="I20" s="84" t="s">
        <v>74</v>
      </c>
      <c r="J20" s="85" t="s">
        <v>2689</v>
      </c>
      <c r="K20" s="84"/>
      <c r="L20" s="84"/>
      <c r="M20" s="84" t="s">
        <v>327</v>
      </c>
      <c r="N20" s="91"/>
      <c r="O20" s="82" t="s">
        <v>2690</v>
      </c>
      <c r="P20" s="46">
        <v>18</v>
      </c>
      <c r="Q20" s="76" t="s">
        <v>2691</v>
      </c>
      <c r="R20" t="s">
        <v>2692</v>
      </c>
    </row>
    <row r="21" spans="1:18" ht="14.45">
      <c r="A21" s="136" t="s">
        <v>1235</v>
      </c>
      <c r="B21" s="130" t="s">
        <v>319</v>
      </c>
      <c r="C21" s="130" t="s">
        <v>2618</v>
      </c>
      <c r="D21" s="142" t="s">
        <v>60</v>
      </c>
      <c r="E21" s="22" t="s">
        <v>118</v>
      </c>
      <c r="F21" s="22" t="s">
        <v>1235</v>
      </c>
      <c r="G21" s="22" t="s">
        <v>319</v>
      </c>
      <c r="H21" s="22"/>
      <c r="I21" s="22" t="s">
        <v>74</v>
      </c>
      <c r="J21" s="22" t="s">
        <v>2693</v>
      </c>
      <c r="K21" s="22"/>
      <c r="L21" s="22"/>
      <c r="M21" s="22">
        <v>-1</v>
      </c>
      <c r="N21" s="46"/>
      <c r="O21" s="7" t="s">
        <v>2694</v>
      </c>
      <c r="P21" s="46">
        <v>19</v>
      </c>
      <c r="Q21" t="s">
        <v>2695</v>
      </c>
      <c r="R21" t="s">
        <v>2696</v>
      </c>
    </row>
    <row r="22" spans="1:18" ht="14.45">
      <c r="A22" s="136" t="s">
        <v>1072</v>
      </c>
      <c r="B22" s="130" t="s">
        <v>319</v>
      </c>
      <c r="C22" s="130" t="s">
        <v>2618</v>
      </c>
      <c r="D22" s="142" t="s">
        <v>66</v>
      </c>
      <c r="E22" s="22" t="s">
        <v>270</v>
      </c>
      <c r="F22" s="22" t="s">
        <v>1072</v>
      </c>
      <c r="G22" s="22" t="s">
        <v>319</v>
      </c>
      <c r="H22" s="22"/>
      <c r="I22" s="22" t="s">
        <v>74</v>
      </c>
      <c r="J22" s="26" t="s">
        <v>2697</v>
      </c>
      <c r="K22" s="22"/>
      <c r="L22" s="22" t="s">
        <v>2660</v>
      </c>
      <c r="M22" s="22">
        <v>-1</v>
      </c>
      <c r="N22" s="46"/>
      <c r="O22" s="7"/>
      <c r="P22" s="46">
        <v>20</v>
      </c>
      <c r="Q22" t="s">
        <v>2698</v>
      </c>
      <c r="R22" t="s">
        <v>2699</v>
      </c>
    </row>
    <row r="23" spans="1:18" ht="72.599999999999994">
      <c r="A23" s="136" t="s">
        <v>764</v>
      </c>
      <c r="B23" s="130" t="s">
        <v>319</v>
      </c>
      <c r="C23" s="130" t="s">
        <v>2618</v>
      </c>
      <c r="D23" s="142" t="s">
        <v>66</v>
      </c>
      <c r="E23" s="22" t="s">
        <v>198</v>
      </c>
      <c r="F23" s="22" t="s">
        <v>764</v>
      </c>
      <c r="G23" s="22" t="s">
        <v>319</v>
      </c>
      <c r="H23" s="22"/>
      <c r="I23" s="22" t="s">
        <v>98</v>
      </c>
      <c r="J23" s="26" t="s">
        <v>2700</v>
      </c>
      <c r="K23" s="22"/>
      <c r="L23" s="22" t="s">
        <v>2660</v>
      </c>
      <c r="M23" s="22">
        <v>-1</v>
      </c>
      <c r="N23" s="46"/>
      <c r="O23" s="50" t="s">
        <v>2701</v>
      </c>
      <c r="P23" s="46">
        <v>21</v>
      </c>
      <c r="Q23" s="76" t="s">
        <v>2702</v>
      </c>
      <c r="R23" t="s">
        <v>2703</v>
      </c>
    </row>
    <row r="24" spans="1:18" ht="14.45">
      <c r="A24" s="133" t="s">
        <v>2374</v>
      </c>
      <c r="B24" s="129" t="s">
        <v>346</v>
      </c>
      <c r="C24" s="129" t="s">
        <v>2618</v>
      </c>
      <c r="D24" s="139" t="s">
        <v>12</v>
      </c>
      <c r="E24" s="7" t="s">
        <v>2622</v>
      </c>
      <c r="F24" s="7" t="s">
        <v>2704</v>
      </c>
      <c r="G24" s="7" t="s">
        <v>346</v>
      </c>
      <c r="H24" s="7"/>
      <c r="I24" s="7" t="s">
        <v>74</v>
      </c>
      <c r="J24" s="7" t="s">
        <v>2705</v>
      </c>
      <c r="K24" s="7"/>
      <c r="L24" s="7"/>
      <c r="M24" s="7">
        <v>-1</v>
      </c>
      <c r="N24" s="46"/>
      <c r="O24" s="7"/>
      <c r="P24" s="46">
        <v>22</v>
      </c>
      <c r="Q24" s="76" t="s">
        <v>2706</v>
      </c>
      <c r="R24" t="s">
        <v>2707</v>
      </c>
    </row>
    <row r="25" spans="1:18" ht="14.45">
      <c r="A25" s="133" t="s">
        <v>2708</v>
      </c>
      <c r="B25" s="129" t="s">
        <v>346</v>
      </c>
      <c r="C25" s="129" t="s">
        <v>2618</v>
      </c>
      <c r="D25" s="139" t="s">
        <v>40</v>
      </c>
      <c r="E25" s="7" t="s">
        <v>201</v>
      </c>
      <c r="F25" s="7" t="s">
        <v>2709</v>
      </c>
      <c r="G25" s="7" t="s">
        <v>351</v>
      </c>
      <c r="H25" s="7">
        <v>1</v>
      </c>
      <c r="I25" s="7" t="s">
        <v>74</v>
      </c>
      <c r="J25" s="7" t="s">
        <v>2710</v>
      </c>
      <c r="K25" s="7"/>
      <c r="L25" s="7" t="s">
        <v>2660</v>
      </c>
      <c r="M25" s="7" t="s">
        <v>327</v>
      </c>
      <c r="N25" s="46"/>
      <c r="O25" s="7"/>
      <c r="P25" s="46">
        <v>23</v>
      </c>
      <c r="Q25" s="76" t="s">
        <v>2711</v>
      </c>
      <c r="R25" t="s">
        <v>2712</v>
      </c>
    </row>
    <row r="26" spans="1:18" ht="14.45">
      <c r="A26" s="136" t="s">
        <v>504</v>
      </c>
      <c r="B26" s="130" t="s">
        <v>351</v>
      </c>
      <c r="C26" s="130">
        <v>5</v>
      </c>
      <c r="D26" s="142" t="s">
        <v>12</v>
      </c>
      <c r="E26" s="22" t="s">
        <v>2622</v>
      </c>
      <c r="F26" s="22" t="s">
        <v>554</v>
      </c>
      <c r="G26" s="22" t="s">
        <v>351</v>
      </c>
      <c r="H26" s="22">
        <v>10</v>
      </c>
      <c r="I26" s="22" t="s">
        <v>74</v>
      </c>
      <c r="J26" s="22"/>
      <c r="K26" s="22"/>
      <c r="L26" s="22"/>
      <c r="M26" s="22" t="s">
        <v>327</v>
      </c>
      <c r="N26" s="46"/>
      <c r="O26" s="7" t="s">
        <v>2713</v>
      </c>
      <c r="P26" s="46">
        <v>24</v>
      </c>
      <c r="Q26" s="76" t="s">
        <v>2714</v>
      </c>
      <c r="R26" t="s">
        <v>2715</v>
      </c>
    </row>
    <row r="27" spans="1:18" ht="14.45">
      <c r="A27" s="133" t="s">
        <v>2716</v>
      </c>
      <c r="B27" s="129" t="s">
        <v>351</v>
      </c>
      <c r="C27" s="129">
        <v>10</v>
      </c>
      <c r="D27" s="140" t="s">
        <v>45</v>
      </c>
      <c r="E27" s="83" t="s">
        <v>2717</v>
      </c>
      <c r="F27" s="83" t="s">
        <v>2718</v>
      </c>
      <c r="G27" s="83" t="s">
        <v>351</v>
      </c>
      <c r="H27" s="83">
        <v>-1</v>
      </c>
      <c r="I27" s="83" t="s">
        <v>74</v>
      </c>
      <c r="J27" s="35" t="s">
        <v>2719</v>
      </c>
      <c r="K27" s="83"/>
      <c r="L27" s="83"/>
      <c r="M27" s="83" t="s">
        <v>327</v>
      </c>
      <c r="N27" s="46"/>
      <c r="O27" s="7" t="s">
        <v>2720</v>
      </c>
      <c r="P27" s="46">
        <v>25</v>
      </c>
      <c r="Q27" s="76" t="s">
        <v>2721</v>
      </c>
      <c r="R27" t="s">
        <v>2722</v>
      </c>
    </row>
    <row r="28" spans="1:18" ht="43.5">
      <c r="A28" s="133" t="s">
        <v>2723</v>
      </c>
      <c r="B28" s="129" t="s">
        <v>1377</v>
      </c>
      <c r="C28" s="129" t="s">
        <v>2618</v>
      </c>
      <c r="D28" s="139" t="s">
        <v>45</v>
      </c>
      <c r="E28" s="7" t="s">
        <v>2717</v>
      </c>
      <c r="F28" s="83" t="s">
        <v>2718</v>
      </c>
      <c r="G28" s="7"/>
      <c r="H28" s="7"/>
      <c r="I28" s="7" t="s">
        <v>74</v>
      </c>
      <c r="J28" s="50" t="s">
        <v>2724</v>
      </c>
      <c r="K28" s="7"/>
      <c r="L28" s="7" t="s">
        <v>2660</v>
      </c>
      <c r="M28" s="7">
        <v>-1</v>
      </c>
      <c r="N28" s="46"/>
      <c r="O28" s="7"/>
      <c r="P28" s="46">
        <v>26</v>
      </c>
      <c r="Q28" s="76" t="s">
        <v>2725</v>
      </c>
      <c r="R28" t="s">
        <v>2726</v>
      </c>
    </row>
    <row r="29" spans="1:18" ht="43.5">
      <c r="A29" s="133" t="s">
        <v>2727</v>
      </c>
      <c r="B29" s="129" t="s">
        <v>1377</v>
      </c>
      <c r="C29" s="129" t="s">
        <v>2618</v>
      </c>
      <c r="D29" s="139" t="s">
        <v>45</v>
      </c>
      <c r="E29" s="7" t="s">
        <v>2717</v>
      </c>
      <c r="F29" s="83" t="s">
        <v>2718</v>
      </c>
      <c r="G29" s="7"/>
      <c r="H29" s="7"/>
      <c r="I29" s="7" t="s">
        <v>74</v>
      </c>
      <c r="J29" s="50" t="s">
        <v>2728</v>
      </c>
      <c r="K29" s="7"/>
      <c r="L29" s="7" t="s">
        <v>2660</v>
      </c>
      <c r="M29" s="7">
        <v>-1</v>
      </c>
      <c r="N29" s="46"/>
      <c r="O29" s="7"/>
      <c r="P29" s="46">
        <v>27</v>
      </c>
      <c r="Q29" s="76" t="s">
        <v>2729</v>
      </c>
      <c r="R29" t="s">
        <v>2730</v>
      </c>
    </row>
    <row r="30" spans="1:18" ht="29.1">
      <c r="A30" s="136" t="s">
        <v>706</v>
      </c>
      <c r="B30" s="130" t="s">
        <v>319</v>
      </c>
      <c r="C30" s="130" t="s">
        <v>2618</v>
      </c>
      <c r="D30" s="142" t="s">
        <v>66</v>
      </c>
      <c r="E30" s="22" t="s">
        <v>193</v>
      </c>
      <c r="F30" s="22" t="s">
        <v>706</v>
      </c>
      <c r="G30" s="22" t="s">
        <v>319</v>
      </c>
      <c r="H30" s="22"/>
      <c r="I30" s="22" t="s">
        <v>74</v>
      </c>
      <c r="J30" s="26" t="s">
        <v>2731</v>
      </c>
      <c r="K30" s="22"/>
      <c r="L30" s="22" t="s">
        <v>2660</v>
      </c>
      <c r="M30" s="22">
        <v>-1</v>
      </c>
      <c r="N30" s="46"/>
      <c r="O30" s="50" t="s">
        <v>2732</v>
      </c>
      <c r="P30" s="46">
        <v>28</v>
      </c>
      <c r="Q30" s="76" t="s">
        <v>2733</v>
      </c>
      <c r="R30" t="s">
        <v>2734</v>
      </c>
    </row>
    <row r="31" spans="1:18" ht="57.95">
      <c r="A31" s="136" t="s">
        <v>735</v>
      </c>
      <c r="B31" s="130" t="s">
        <v>319</v>
      </c>
      <c r="C31" s="130" t="s">
        <v>2618</v>
      </c>
      <c r="D31" s="142" t="s">
        <v>66</v>
      </c>
      <c r="E31" s="22" t="s">
        <v>196</v>
      </c>
      <c r="F31" s="22" t="s">
        <v>735</v>
      </c>
      <c r="G31" s="22" t="s">
        <v>319</v>
      </c>
      <c r="H31" s="22"/>
      <c r="I31" s="22" t="s">
        <v>74</v>
      </c>
      <c r="J31" s="22" t="s">
        <v>2735</v>
      </c>
      <c r="K31" s="22"/>
      <c r="L31" s="22" t="s">
        <v>2660</v>
      </c>
      <c r="M31" s="22">
        <v>-1</v>
      </c>
      <c r="N31" s="46"/>
      <c r="O31" s="50" t="s">
        <v>2736</v>
      </c>
      <c r="P31" s="46">
        <v>29</v>
      </c>
      <c r="Q31" s="76" t="s">
        <v>2737</v>
      </c>
      <c r="R31" t="s">
        <v>2738</v>
      </c>
    </row>
    <row r="32" spans="1:18" ht="14.45">
      <c r="A32" s="133" t="s">
        <v>2739</v>
      </c>
      <c r="B32" s="129" t="s">
        <v>367</v>
      </c>
      <c r="C32" s="129" t="s">
        <v>2618</v>
      </c>
      <c r="D32" s="139" t="s">
        <v>12</v>
      </c>
      <c r="E32" s="7" t="s">
        <v>2622</v>
      </c>
      <c r="F32" s="7" t="s">
        <v>2740</v>
      </c>
      <c r="G32" s="7" t="s">
        <v>367</v>
      </c>
      <c r="H32" s="7"/>
      <c r="I32" s="7" t="s">
        <v>74</v>
      </c>
      <c r="J32" s="7"/>
      <c r="K32" s="7"/>
      <c r="L32" s="7" t="s">
        <v>2741</v>
      </c>
      <c r="M32" s="7" t="s">
        <v>368</v>
      </c>
      <c r="N32" s="46"/>
      <c r="O32" s="7" t="s">
        <v>2661</v>
      </c>
      <c r="P32" s="46">
        <v>30</v>
      </c>
      <c r="Q32" s="76" t="s">
        <v>2742</v>
      </c>
      <c r="R32" t="s">
        <v>2743</v>
      </c>
    </row>
    <row r="33" spans="1:18" ht="14.45">
      <c r="A33" s="133" t="s">
        <v>2744</v>
      </c>
      <c r="B33" s="129" t="s">
        <v>367</v>
      </c>
      <c r="C33" s="129" t="s">
        <v>2618</v>
      </c>
      <c r="D33" s="139" t="s">
        <v>12</v>
      </c>
      <c r="E33" s="7" t="s">
        <v>2622</v>
      </c>
      <c r="F33" s="7" t="s">
        <v>2745</v>
      </c>
      <c r="G33" s="7" t="s">
        <v>367</v>
      </c>
      <c r="H33" s="7"/>
      <c r="I33" s="7" t="s">
        <v>74</v>
      </c>
      <c r="J33" s="7"/>
      <c r="K33" s="7"/>
      <c r="L33" s="7"/>
      <c r="M33" s="7" t="s">
        <v>368</v>
      </c>
      <c r="N33" s="46"/>
      <c r="O33" s="7" t="s">
        <v>2661</v>
      </c>
      <c r="P33" s="46">
        <v>31</v>
      </c>
      <c r="Q33" s="76" t="s">
        <v>2746</v>
      </c>
      <c r="R33" t="s">
        <v>2747</v>
      </c>
    </row>
    <row r="34" spans="1:18" ht="14.45">
      <c r="A34" s="133" t="s">
        <v>2748</v>
      </c>
      <c r="B34" s="129" t="s">
        <v>431</v>
      </c>
      <c r="C34" s="129" t="s">
        <v>2618</v>
      </c>
      <c r="D34" s="139" t="s">
        <v>12</v>
      </c>
      <c r="E34" s="7" t="s">
        <v>2622</v>
      </c>
      <c r="F34" s="7" t="s">
        <v>2749</v>
      </c>
      <c r="G34" s="7" t="s">
        <v>431</v>
      </c>
      <c r="H34" s="7"/>
      <c r="I34" s="7" t="s">
        <v>74</v>
      </c>
      <c r="J34" s="7"/>
      <c r="K34" s="7"/>
      <c r="L34" s="7"/>
      <c r="M34" s="7">
        <v>-1</v>
      </c>
      <c r="N34" s="46"/>
      <c r="O34" s="7" t="s">
        <v>2750</v>
      </c>
      <c r="P34" s="46">
        <v>32</v>
      </c>
      <c r="Q34" s="76" t="s">
        <v>2751</v>
      </c>
      <c r="R34" t="s">
        <v>2752</v>
      </c>
    </row>
    <row r="35" spans="1:18" ht="14.45" customHeight="1">
      <c r="A35" s="133" t="s">
        <v>2753</v>
      </c>
      <c r="B35" s="129" t="s">
        <v>351</v>
      </c>
      <c r="C35" s="129">
        <v>20</v>
      </c>
      <c r="D35" s="139" t="s">
        <v>12</v>
      </c>
      <c r="E35" s="7" t="s">
        <v>2622</v>
      </c>
      <c r="F35" s="7" t="s">
        <v>2754</v>
      </c>
      <c r="G35" s="7" t="s">
        <v>351</v>
      </c>
      <c r="H35" s="7">
        <v>20</v>
      </c>
      <c r="I35" s="7" t="s">
        <v>74</v>
      </c>
      <c r="J35" s="7"/>
      <c r="K35" s="7"/>
      <c r="L35" s="7"/>
      <c r="M35" s="7" t="s">
        <v>327</v>
      </c>
      <c r="N35" s="46"/>
      <c r="O35" s="7" t="s">
        <v>2755</v>
      </c>
      <c r="P35" s="46">
        <v>33</v>
      </c>
      <c r="Q35" s="76" t="s">
        <v>2756</v>
      </c>
      <c r="R35" t="s">
        <v>2757</v>
      </c>
    </row>
    <row r="36" spans="1:18" ht="14.45">
      <c r="A36" s="135" t="s">
        <v>821</v>
      </c>
      <c r="B36" s="130" t="s">
        <v>319</v>
      </c>
      <c r="C36" s="130" t="s">
        <v>2618</v>
      </c>
      <c r="D36" s="141" t="s">
        <v>66</v>
      </c>
      <c r="E36" s="84" t="s">
        <v>226</v>
      </c>
      <c r="F36" s="84" t="s">
        <v>821</v>
      </c>
      <c r="G36" s="84" t="s">
        <v>319</v>
      </c>
      <c r="H36" s="84"/>
      <c r="I36" s="84" t="s">
        <v>74</v>
      </c>
      <c r="J36" s="85" t="s">
        <v>2758</v>
      </c>
      <c r="K36" s="84"/>
      <c r="L36" s="84" t="s">
        <v>2660</v>
      </c>
      <c r="M36" s="84">
        <v>-1</v>
      </c>
      <c r="N36" s="46"/>
      <c r="O36" s="7" t="s">
        <v>2759</v>
      </c>
      <c r="P36" s="46">
        <v>34</v>
      </c>
      <c r="Q36" s="76" t="s">
        <v>2760</v>
      </c>
      <c r="R36" t="s">
        <v>2761</v>
      </c>
    </row>
    <row r="37" spans="1:18" ht="14.45">
      <c r="A37" s="136" t="s">
        <v>1103</v>
      </c>
      <c r="B37" s="130" t="s">
        <v>319</v>
      </c>
      <c r="C37" s="130" t="s">
        <v>2618</v>
      </c>
      <c r="D37" s="142" t="s">
        <v>66</v>
      </c>
      <c r="E37" s="22" t="s">
        <v>281</v>
      </c>
      <c r="F37" s="22" t="s">
        <v>1103</v>
      </c>
      <c r="G37" s="22" t="s">
        <v>319</v>
      </c>
      <c r="H37" s="22"/>
      <c r="I37" s="22" t="s">
        <v>74</v>
      </c>
      <c r="J37" s="22" t="s">
        <v>2762</v>
      </c>
      <c r="K37" s="22"/>
      <c r="L37" s="22"/>
      <c r="M37" s="22">
        <v>-1</v>
      </c>
      <c r="N37" s="46"/>
      <c r="O37" s="7"/>
      <c r="P37" s="46">
        <v>35</v>
      </c>
      <c r="Q37" s="76" t="s">
        <v>2763</v>
      </c>
      <c r="R37" t="s">
        <v>2764</v>
      </c>
    </row>
    <row r="38" spans="1:18" ht="14.45">
      <c r="A38" s="133" t="s">
        <v>2765</v>
      </c>
      <c r="B38" s="129" t="s">
        <v>351</v>
      </c>
      <c r="C38" s="129">
        <v>255</v>
      </c>
      <c r="D38" s="139" t="s">
        <v>40</v>
      </c>
      <c r="E38" s="7" t="s">
        <v>201</v>
      </c>
      <c r="F38" s="7" t="s">
        <v>2766</v>
      </c>
      <c r="G38" s="7" t="s">
        <v>351</v>
      </c>
      <c r="H38" s="7">
        <v>60</v>
      </c>
      <c r="I38" s="7" t="s">
        <v>74</v>
      </c>
      <c r="J38" s="7" t="s">
        <v>2767</v>
      </c>
      <c r="K38" s="7"/>
      <c r="L38" s="7" t="s">
        <v>2660</v>
      </c>
      <c r="M38" s="7" t="s">
        <v>327</v>
      </c>
      <c r="N38" s="46"/>
      <c r="O38" s="7"/>
      <c r="P38" s="46">
        <v>36</v>
      </c>
      <c r="Q38" s="76" t="s">
        <v>2768</v>
      </c>
      <c r="R38" t="s">
        <v>2769</v>
      </c>
    </row>
    <row r="39" spans="1:18" ht="14.45">
      <c r="A39" s="133" t="s">
        <v>2770</v>
      </c>
      <c r="B39" s="129" t="s">
        <v>351</v>
      </c>
      <c r="C39" s="129">
        <v>20</v>
      </c>
      <c r="D39" s="139" t="s">
        <v>40</v>
      </c>
      <c r="E39" s="7" t="s">
        <v>201</v>
      </c>
      <c r="F39" s="7" t="s">
        <v>2771</v>
      </c>
      <c r="G39" s="7" t="s">
        <v>351</v>
      </c>
      <c r="H39" s="7">
        <v>20</v>
      </c>
      <c r="I39" s="7" t="s">
        <v>74</v>
      </c>
      <c r="J39" s="7" t="s">
        <v>2772</v>
      </c>
      <c r="K39" s="7"/>
      <c r="L39" s="7" t="s">
        <v>2660</v>
      </c>
      <c r="M39" s="7" t="s">
        <v>327</v>
      </c>
      <c r="N39" s="46"/>
      <c r="O39" s="7"/>
      <c r="P39" s="46">
        <v>37</v>
      </c>
      <c r="Q39" s="76" t="s">
        <v>2773</v>
      </c>
      <c r="R39" t="s">
        <v>2774</v>
      </c>
    </row>
    <row r="40" spans="1:18" ht="72.599999999999994">
      <c r="A40" s="136" t="s">
        <v>792</v>
      </c>
      <c r="B40" s="130" t="s">
        <v>319</v>
      </c>
      <c r="C40" s="130" t="s">
        <v>2618</v>
      </c>
      <c r="D40" s="142" t="s">
        <v>66</v>
      </c>
      <c r="E40" s="22" t="s">
        <v>200</v>
      </c>
      <c r="F40" s="22" t="s">
        <v>792</v>
      </c>
      <c r="G40" s="22" t="s">
        <v>319</v>
      </c>
      <c r="H40" s="22"/>
      <c r="I40" s="22" t="s">
        <v>74</v>
      </c>
      <c r="J40" s="26" t="s">
        <v>2775</v>
      </c>
      <c r="K40" s="22"/>
      <c r="L40" s="22" t="s">
        <v>2660</v>
      </c>
      <c r="M40" s="22">
        <v>-1</v>
      </c>
      <c r="N40" s="46"/>
      <c r="O40" s="50" t="s">
        <v>2776</v>
      </c>
      <c r="P40" s="46">
        <v>38</v>
      </c>
      <c r="Q40" s="76" t="s">
        <v>2777</v>
      </c>
      <c r="R40" t="s">
        <v>2778</v>
      </c>
    </row>
    <row r="41" spans="1:18" ht="116.1">
      <c r="A41" s="133" t="s">
        <v>2358</v>
      </c>
      <c r="B41" s="129" t="s">
        <v>351</v>
      </c>
      <c r="C41" s="129" t="s">
        <v>2779</v>
      </c>
      <c r="D41" s="139" t="s">
        <v>12</v>
      </c>
      <c r="E41" s="7" t="s">
        <v>2622</v>
      </c>
      <c r="F41" s="7" t="s">
        <v>10</v>
      </c>
      <c r="G41" s="7" t="s">
        <v>351</v>
      </c>
      <c r="H41" s="7">
        <v>-1</v>
      </c>
      <c r="I41" s="7" t="s">
        <v>74</v>
      </c>
      <c r="J41" s="50" t="s">
        <v>2780</v>
      </c>
      <c r="K41" s="7"/>
      <c r="L41" s="7"/>
      <c r="M41" s="7" t="s">
        <v>327</v>
      </c>
      <c r="N41" s="46"/>
      <c r="O41" s="7"/>
      <c r="P41" s="46">
        <v>39</v>
      </c>
      <c r="Q41" s="76" t="s">
        <v>2781</v>
      </c>
      <c r="R41" t="s">
        <v>2782</v>
      </c>
    </row>
    <row r="42" spans="1:18" ht="14.45">
      <c r="A42" s="133" t="s">
        <v>2783</v>
      </c>
      <c r="B42" s="129" t="s">
        <v>351</v>
      </c>
      <c r="C42" s="129">
        <v>10</v>
      </c>
      <c r="D42" s="139" t="s">
        <v>40</v>
      </c>
      <c r="E42" s="7" t="s">
        <v>201</v>
      </c>
      <c r="F42" s="7" t="s">
        <v>2784</v>
      </c>
      <c r="G42" s="7" t="s">
        <v>351</v>
      </c>
      <c r="H42" s="7">
        <v>20</v>
      </c>
      <c r="I42" s="7" t="s">
        <v>74</v>
      </c>
      <c r="J42" s="7" t="s">
        <v>2785</v>
      </c>
      <c r="K42" s="7"/>
      <c r="L42" s="7" t="s">
        <v>2660</v>
      </c>
      <c r="M42" s="7" t="s">
        <v>327</v>
      </c>
      <c r="N42" s="46"/>
      <c r="O42" s="7"/>
      <c r="P42" s="46">
        <v>40</v>
      </c>
      <c r="Q42" s="76" t="s">
        <v>2786</v>
      </c>
      <c r="R42" t="s">
        <v>2787</v>
      </c>
    </row>
    <row r="43" spans="1:18" ht="14.45">
      <c r="A43" s="134" t="s">
        <v>2788</v>
      </c>
      <c r="B43" s="129" t="s">
        <v>351</v>
      </c>
      <c r="C43" s="129">
        <v>10</v>
      </c>
      <c r="D43" s="140" t="s">
        <v>40</v>
      </c>
      <c r="E43" s="83" t="s">
        <v>2789</v>
      </c>
      <c r="F43" s="7" t="s">
        <v>2790</v>
      </c>
      <c r="G43" s="7" t="s">
        <v>351</v>
      </c>
      <c r="H43" s="7">
        <v>10</v>
      </c>
      <c r="I43" s="7" t="s">
        <v>74</v>
      </c>
      <c r="J43" s="7"/>
      <c r="K43" s="7"/>
      <c r="L43" s="7"/>
      <c r="M43" s="7"/>
      <c r="N43" s="46"/>
      <c r="O43" s="7"/>
      <c r="P43" s="46">
        <v>41</v>
      </c>
      <c r="Q43" s="76"/>
      <c r="R43" t="s">
        <v>2791</v>
      </c>
    </row>
    <row r="44" spans="1:18" ht="14.45">
      <c r="A44" s="134" t="s">
        <v>2792</v>
      </c>
      <c r="B44" s="129" t="s">
        <v>351</v>
      </c>
      <c r="C44" s="129">
        <v>50</v>
      </c>
      <c r="D44" s="140" t="s">
        <v>40</v>
      </c>
      <c r="E44" s="83" t="s">
        <v>2789</v>
      </c>
      <c r="F44" s="83" t="s">
        <v>2793</v>
      </c>
      <c r="G44" s="83" t="s">
        <v>351</v>
      </c>
      <c r="H44" s="83">
        <v>50</v>
      </c>
      <c r="I44" s="83" t="s">
        <v>74</v>
      </c>
      <c r="J44" s="83" t="s">
        <v>2794</v>
      </c>
      <c r="K44" s="83"/>
      <c r="L44" s="83" t="s">
        <v>2660</v>
      </c>
      <c r="M44" s="83" t="s">
        <v>327</v>
      </c>
      <c r="N44" s="46"/>
      <c r="O44" s="7"/>
      <c r="P44" s="46">
        <v>42</v>
      </c>
      <c r="Q44" s="76" t="s">
        <v>2795</v>
      </c>
      <c r="R44" t="s">
        <v>2796</v>
      </c>
    </row>
    <row r="45" spans="1:18" ht="14.45">
      <c r="A45" s="133" t="s">
        <v>2797</v>
      </c>
      <c r="B45" s="129" t="s">
        <v>351</v>
      </c>
      <c r="C45" s="129">
        <v>12</v>
      </c>
      <c r="D45" s="139" t="s">
        <v>40</v>
      </c>
      <c r="E45" s="7" t="s">
        <v>210</v>
      </c>
      <c r="F45" s="7" t="s">
        <v>2790</v>
      </c>
      <c r="G45" s="7" t="s">
        <v>351</v>
      </c>
      <c r="H45" s="7">
        <v>10</v>
      </c>
      <c r="I45" s="7" t="s">
        <v>74</v>
      </c>
      <c r="J45" s="7" t="s">
        <v>2798</v>
      </c>
      <c r="K45" s="7"/>
      <c r="L45" s="7"/>
      <c r="M45" s="7"/>
      <c r="N45" s="46"/>
      <c r="O45" s="7"/>
      <c r="P45" s="46">
        <v>43</v>
      </c>
      <c r="Q45" s="76"/>
      <c r="R45" t="s">
        <v>2799</v>
      </c>
    </row>
    <row r="46" spans="1:18" ht="14.45">
      <c r="A46" s="133" t="s">
        <v>2800</v>
      </c>
      <c r="B46" s="129" t="s">
        <v>351</v>
      </c>
      <c r="C46" s="129">
        <v>255</v>
      </c>
      <c r="D46" s="139" t="s">
        <v>60</v>
      </c>
      <c r="E46" s="7" t="s">
        <v>118</v>
      </c>
      <c r="F46" s="7" t="s">
        <v>2261</v>
      </c>
      <c r="G46" s="7" t="s">
        <v>351</v>
      </c>
      <c r="H46" s="7">
        <v>255</v>
      </c>
      <c r="I46" s="7" t="s">
        <v>74</v>
      </c>
      <c r="J46" s="7" t="s">
        <v>2798</v>
      </c>
      <c r="K46" s="7"/>
      <c r="L46" s="7"/>
      <c r="M46" s="7"/>
      <c r="N46" s="46"/>
      <c r="O46" s="7"/>
      <c r="P46" s="46">
        <v>44</v>
      </c>
      <c r="Q46" s="76"/>
      <c r="R46" t="s">
        <v>2801</v>
      </c>
    </row>
    <row r="47" spans="1:18" ht="14.45">
      <c r="A47" s="133" t="s">
        <v>2802</v>
      </c>
      <c r="B47" s="129" t="s">
        <v>351</v>
      </c>
      <c r="C47" s="129">
        <v>12</v>
      </c>
      <c r="D47" s="139" t="s">
        <v>40</v>
      </c>
      <c r="E47" s="7" t="s">
        <v>210</v>
      </c>
      <c r="F47" s="7" t="s">
        <v>2790</v>
      </c>
      <c r="G47" s="7" t="s">
        <v>351</v>
      </c>
      <c r="H47" s="7">
        <v>10</v>
      </c>
      <c r="I47" s="7" t="s">
        <v>74</v>
      </c>
      <c r="J47" s="7" t="s">
        <v>2803</v>
      </c>
      <c r="K47" s="7"/>
      <c r="L47" s="7"/>
      <c r="M47" s="7"/>
      <c r="N47" s="46"/>
      <c r="O47" s="7"/>
      <c r="P47" s="46">
        <v>45</v>
      </c>
      <c r="Q47" s="76"/>
      <c r="R47" t="s">
        <v>2804</v>
      </c>
    </row>
    <row r="48" spans="1:18" ht="14.45">
      <c r="A48" s="133" t="s">
        <v>2805</v>
      </c>
      <c r="B48" s="129" t="s">
        <v>351</v>
      </c>
      <c r="C48" s="129">
        <v>255</v>
      </c>
      <c r="D48" s="139" t="s">
        <v>60</v>
      </c>
      <c r="E48" s="7" t="s">
        <v>118</v>
      </c>
      <c r="F48" s="7" t="s">
        <v>2261</v>
      </c>
      <c r="G48" s="7" t="s">
        <v>351</v>
      </c>
      <c r="H48" s="7">
        <v>255</v>
      </c>
      <c r="I48" s="7" t="s">
        <v>74</v>
      </c>
      <c r="J48" s="7" t="s">
        <v>2803</v>
      </c>
      <c r="K48" s="7"/>
      <c r="L48" s="7"/>
      <c r="M48" s="7"/>
      <c r="N48" s="46"/>
      <c r="O48" s="7"/>
      <c r="P48" s="46">
        <v>46</v>
      </c>
      <c r="Q48" s="76"/>
      <c r="R48" t="s">
        <v>2806</v>
      </c>
    </row>
    <row r="49" spans="1:18" ht="14.45">
      <c r="A49" s="134" t="s">
        <v>2807</v>
      </c>
      <c r="B49" s="129" t="s">
        <v>351</v>
      </c>
      <c r="C49" s="129">
        <v>255</v>
      </c>
      <c r="D49" s="140" t="s">
        <v>40</v>
      </c>
      <c r="E49" s="83" t="s">
        <v>201</v>
      </c>
      <c r="F49" s="83" t="s">
        <v>2808</v>
      </c>
      <c r="G49" s="83" t="s">
        <v>351</v>
      </c>
      <c r="H49" s="83">
        <v>40</v>
      </c>
      <c r="I49" s="83" t="s">
        <v>74</v>
      </c>
      <c r="J49" s="83" t="s">
        <v>2809</v>
      </c>
      <c r="K49" s="83"/>
      <c r="L49" s="83" t="s">
        <v>2660</v>
      </c>
      <c r="M49" s="83" t="s">
        <v>327</v>
      </c>
      <c r="N49" s="46"/>
      <c r="O49" s="7"/>
      <c r="P49" s="46">
        <v>47</v>
      </c>
      <c r="Q49" s="76" t="s">
        <v>2810</v>
      </c>
      <c r="R49" t="s">
        <v>2811</v>
      </c>
    </row>
    <row r="50" spans="1:18" ht="14.45">
      <c r="A50" s="133" t="s">
        <v>2812</v>
      </c>
      <c r="B50" s="129" t="s">
        <v>351</v>
      </c>
      <c r="C50" s="129">
        <v>255</v>
      </c>
      <c r="D50" s="139" t="s">
        <v>40</v>
      </c>
      <c r="E50" s="7" t="s">
        <v>201</v>
      </c>
      <c r="F50" s="7" t="s">
        <v>2813</v>
      </c>
      <c r="G50" s="7" t="s">
        <v>351</v>
      </c>
      <c r="H50" s="7">
        <v>120</v>
      </c>
      <c r="I50" s="7" t="s">
        <v>74</v>
      </c>
      <c r="J50" s="7" t="s">
        <v>2814</v>
      </c>
      <c r="K50" s="7"/>
      <c r="L50" s="7" t="s">
        <v>2660</v>
      </c>
      <c r="M50" s="7" t="s">
        <v>327</v>
      </c>
      <c r="N50" s="46"/>
      <c r="O50" s="7"/>
      <c r="P50" s="46">
        <v>48</v>
      </c>
      <c r="Q50" s="76" t="s">
        <v>2815</v>
      </c>
      <c r="R50" t="s">
        <v>2816</v>
      </c>
    </row>
    <row r="51" spans="1:18" ht="14.45">
      <c r="A51" s="134" t="s">
        <v>2817</v>
      </c>
      <c r="B51" s="129" t="s">
        <v>351</v>
      </c>
      <c r="C51" s="129">
        <v>24</v>
      </c>
      <c r="D51" s="139" t="s">
        <v>12</v>
      </c>
      <c r="E51" s="7" t="s">
        <v>2622</v>
      </c>
      <c r="F51" s="7" t="s">
        <v>2818</v>
      </c>
      <c r="G51" s="7" t="s">
        <v>351</v>
      </c>
      <c r="H51" s="7">
        <v>24</v>
      </c>
      <c r="I51" s="7" t="s">
        <v>74</v>
      </c>
      <c r="J51" s="7"/>
      <c r="K51" s="7"/>
      <c r="L51" s="7"/>
      <c r="M51" s="7" t="s">
        <v>327</v>
      </c>
      <c r="N51" s="46"/>
      <c r="O51" s="37" t="s">
        <v>2819</v>
      </c>
      <c r="P51" s="46">
        <v>49</v>
      </c>
      <c r="Q51" s="76" t="s">
        <v>2820</v>
      </c>
      <c r="R51" t="s">
        <v>2821</v>
      </c>
    </row>
    <row r="52" spans="1:18" ht="14.45">
      <c r="A52" s="134" t="s">
        <v>2822</v>
      </c>
      <c r="B52" s="129" t="s">
        <v>351</v>
      </c>
      <c r="C52" s="129">
        <v>24</v>
      </c>
      <c r="D52" s="139" t="s">
        <v>12</v>
      </c>
      <c r="E52" s="7" t="s">
        <v>2622</v>
      </c>
      <c r="F52" s="7" t="s">
        <v>2823</v>
      </c>
      <c r="G52" s="7" t="s">
        <v>351</v>
      </c>
      <c r="H52" s="7">
        <v>24</v>
      </c>
      <c r="I52" s="7" t="s">
        <v>74</v>
      </c>
      <c r="J52" s="7"/>
      <c r="K52" s="7"/>
      <c r="L52" s="7"/>
      <c r="M52" s="7" t="s">
        <v>327</v>
      </c>
      <c r="N52" s="46"/>
      <c r="O52" s="37" t="s">
        <v>2819</v>
      </c>
      <c r="P52" s="46">
        <v>50</v>
      </c>
      <c r="Q52" s="76" t="s">
        <v>2824</v>
      </c>
      <c r="R52" t="s">
        <v>2825</v>
      </c>
    </row>
    <row r="53" spans="1:18" ht="14.45">
      <c r="A53" s="133" t="s">
        <v>2382</v>
      </c>
      <c r="B53" s="129" t="s">
        <v>346</v>
      </c>
      <c r="C53" s="129" t="s">
        <v>2618</v>
      </c>
      <c r="D53" s="139" t="s">
        <v>12</v>
      </c>
      <c r="E53" s="7" t="s">
        <v>2622</v>
      </c>
      <c r="F53" s="7" t="s">
        <v>2540</v>
      </c>
      <c r="G53" s="7" t="s">
        <v>346</v>
      </c>
      <c r="H53" s="7"/>
      <c r="I53" s="7" t="s">
        <v>74</v>
      </c>
      <c r="J53" s="7"/>
      <c r="K53" s="7"/>
      <c r="L53" s="7"/>
      <c r="M53" s="7" t="s">
        <v>327</v>
      </c>
      <c r="N53" s="46"/>
      <c r="O53" s="7"/>
      <c r="P53" s="46">
        <v>51</v>
      </c>
      <c r="Q53" s="76" t="s">
        <v>2826</v>
      </c>
      <c r="R53" t="s">
        <v>2827</v>
      </c>
    </row>
    <row r="54" spans="1:18" ht="14.45">
      <c r="A54" s="133" t="s">
        <v>2828</v>
      </c>
      <c r="B54" s="129" t="s">
        <v>346</v>
      </c>
      <c r="C54" s="129" t="s">
        <v>2618</v>
      </c>
      <c r="D54" s="139" t="s">
        <v>52</v>
      </c>
      <c r="E54" s="7" t="s">
        <v>2829</v>
      </c>
      <c r="F54" s="7" t="s">
        <v>2830</v>
      </c>
      <c r="G54" s="7" t="s">
        <v>346</v>
      </c>
      <c r="H54" s="7"/>
      <c r="I54" s="7" t="s">
        <v>98</v>
      </c>
      <c r="J54" s="7" t="s">
        <v>2831</v>
      </c>
      <c r="K54" s="7"/>
      <c r="L54" s="7"/>
      <c r="M54" s="7">
        <v>-1</v>
      </c>
      <c r="N54" s="46"/>
      <c r="O54" s="7"/>
      <c r="P54" s="46">
        <v>52</v>
      </c>
      <c r="Q54" s="76" t="s">
        <v>2832</v>
      </c>
      <c r="R54" t="s">
        <v>2833</v>
      </c>
    </row>
    <row r="55" spans="1:18" ht="14.45">
      <c r="A55" s="133" t="s">
        <v>2834</v>
      </c>
      <c r="B55" s="129" t="s">
        <v>351</v>
      </c>
      <c r="C55" s="129">
        <v>255</v>
      </c>
      <c r="D55" s="139" t="s">
        <v>40</v>
      </c>
      <c r="E55" s="7" t="s">
        <v>220</v>
      </c>
      <c r="F55" s="7" t="s">
        <v>2835</v>
      </c>
      <c r="G55" s="7" t="s">
        <v>351</v>
      </c>
      <c r="H55" s="7">
        <v>255</v>
      </c>
      <c r="I55" s="7" t="s">
        <v>74</v>
      </c>
      <c r="J55" s="7" t="s">
        <v>2836</v>
      </c>
      <c r="K55" s="7"/>
      <c r="L55" s="7"/>
      <c r="M55" s="7" t="s">
        <v>327</v>
      </c>
      <c r="N55" s="46"/>
      <c r="O55" s="7"/>
      <c r="P55" s="46">
        <v>53</v>
      </c>
      <c r="Q55" t="s">
        <v>2837</v>
      </c>
      <c r="R55" t="s">
        <v>2838</v>
      </c>
    </row>
    <row r="56" spans="1:18" ht="14.45">
      <c r="A56" s="136" t="s">
        <v>1176</v>
      </c>
      <c r="B56" s="130" t="s">
        <v>319</v>
      </c>
      <c r="C56" s="130" t="s">
        <v>2618</v>
      </c>
      <c r="D56" s="142" t="s">
        <v>66</v>
      </c>
      <c r="E56" s="22" t="s">
        <v>292</v>
      </c>
      <c r="F56" s="22" t="s">
        <v>1176</v>
      </c>
      <c r="G56" s="22" t="s">
        <v>319</v>
      </c>
      <c r="H56" s="22"/>
      <c r="I56" s="22" t="s">
        <v>74</v>
      </c>
      <c r="J56" s="22" t="s">
        <v>2839</v>
      </c>
      <c r="K56" s="22"/>
      <c r="L56" s="22"/>
      <c r="M56" s="22">
        <v>-1</v>
      </c>
      <c r="N56" s="46"/>
      <c r="O56" s="7" t="s">
        <v>2840</v>
      </c>
      <c r="P56" s="46">
        <v>54</v>
      </c>
      <c r="Q56" s="76" t="s">
        <v>2841</v>
      </c>
      <c r="R56" t="s">
        <v>2842</v>
      </c>
    </row>
    <row r="57" spans="1:18" ht="14.45">
      <c r="A57" s="133" t="s">
        <v>345</v>
      </c>
      <c r="B57" s="129" t="s">
        <v>346</v>
      </c>
      <c r="C57" s="129" t="s">
        <v>2618</v>
      </c>
      <c r="D57" s="139" t="s">
        <v>12</v>
      </c>
      <c r="E57" s="7" t="s">
        <v>2622</v>
      </c>
      <c r="F57" s="7" t="s">
        <v>347</v>
      </c>
      <c r="G57" s="7" t="s">
        <v>346</v>
      </c>
      <c r="H57" s="7"/>
      <c r="I57" s="7" t="s">
        <v>98</v>
      </c>
      <c r="J57" s="7"/>
      <c r="K57" s="7"/>
      <c r="L57" s="7"/>
      <c r="M57" s="7">
        <v>-1</v>
      </c>
      <c r="N57" s="46"/>
      <c r="O57" s="7"/>
      <c r="P57" s="46">
        <v>55</v>
      </c>
      <c r="Q57" s="76" t="s">
        <v>2843</v>
      </c>
      <c r="R57" t="s">
        <v>2844</v>
      </c>
    </row>
    <row r="58" spans="1:18" ht="14.45">
      <c r="A58" s="133" t="s">
        <v>1590</v>
      </c>
      <c r="B58" s="129" t="s">
        <v>367</v>
      </c>
      <c r="C58" s="129" t="s">
        <v>2618</v>
      </c>
      <c r="D58" s="139" t="s">
        <v>12</v>
      </c>
      <c r="E58" s="7" t="s">
        <v>2622</v>
      </c>
      <c r="F58" s="7" t="s">
        <v>2204</v>
      </c>
      <c r="G58" s="7" t="s">
        <v>367</v>
      </c>
      <c r="H58" s="7"/>
      <c r="I58" s="7" t="s">
        <v>98</v>
      </c>
      <c r="J58" s="7"/>
      <c r="K58" s="7"/>
      <c r="L58" s="7"/>
      <c r="M58" s="7" t="s">
        <v>368</v>
      </c>
      <c r="N58" s="46"/>
      <c r="O58" s="7" t="s">
        <v>2845</v>
      </c>
      <c r="P58" s="46">
        <v>56</v>
      </c>
      <c r="Q58" s="76" t="s">
        <v>2846</v>
      </c>
      <c r="R58" t="s">
        <v>2847</v>
      </c>
    </row>
    <row r="59" spans="1:18" ht="14.45">
      <c r="A59" s="8" t="s">
        <v>350</v>
      </c>
      <c r="B59" s="144"/>
      <c r="C59" s="144"/>
      <c r="D59" s="8" t="s">
        <v>320</v>
      </c>
      <c r="E59" s="8"/>
      <c r="F59" s="8"/>
      <c r="G59" s="8" t="s">
        <v>351</v>
      </c>
      <c r="H59" s="8">
        <v>100</v>
      </c>
      <c r="I59" s="8" t="s">
        <v>98</v>
      </c>
      <c r="J59" s="8"/>
      <c r="K59" s="8"/>
      <c r="L59" s="8"/>
      <c r="M59" s="8" t="s">
        <v>327</v>
      </c>
      <c r="N59" s="46"/>
      <c r="O59" s="7"/>
      <c r="P59" s="46">
        <v>57</v>
      </c>
      <c r="Q59" s="88" t="s">
        <v>2848</v>
      </c>
      <c r="R59" t="s">
        <v>2849</v>
      </c>
    </row>
    <row r="60" spans="1:18" ht="14.45">
      <c r="A60" s="8" t="s">
        <v>354</v>
      </c>
      <c r="B60" s="8"/>
      <c r="C60" s="8"/>
      <c r="D60" s="8" t="s">
        <v>320</v>
      </c>
      <c r="E60" s="8"/>
      <c r="F60" s="8"/>
      <c r="G60" s="8" t="s">
        <v>351</v>
      </c>
      <c r="H60" s="8">
        <v>100</v>
      </c>
      <c r="I60" s="8" t="s">
        <v>98</v>
      </c>
      <c r="J60" s="8"/>
      <c r="K60" s="8"/>
      <c r="L60" s="8"/>
      <c r="M60" s="8" t="s">
        <v>327</v>
      </c>
      <c r="N60" s="46"/>
      <c r="O60" s="7"/>
      <c r="P60" s="46">
        <v>58</v>
      </c>
      <c r="Q60" s="88" t="s">
        <v>2850</v>
      </c>
      <c r="R60" t="s">
        <v>2851</v>
      </c>
    </row>
    <row r="61" spans="1:18" ht="14.45">
      <c r="A61" s="8" t="s">
        <v>357</v>
      </c>
      <c r="B61" s="8"/>
      <c r="C61" s="8"/>
      <c r="D61" s="8" t="s">
        <v>320</v>
      </c>
      <c r="E61" s="8"/>
      <c r="F61" s="8"/>
      <c r="G61" s="8" t="s">
        <v>351</v>
      </c>
      <c r="H61" s="8">
        <v>100</v>
      </c>
      <c r="I61" s="8" t="s">
        <v>98</v>
      </c>
      <c r="J61" s="8"/>
      <c r="K61" s="8"/>
      <c r="L61" s="8"/>
      <c r="M61" s="8" t="s">
        <v>327</v>
      </c>
      <c r="N61" s="46"/>
      <c r="O61" s="7"/>
      <c r="P61" s="46">
        <v>59</v>
      </c>
      <c r="Q61" s="88" t="s">
        <v>2852</v>
      </c>
      <c r="R61" t="s">
        <v>2853</v>
      </c>
    </row>
    <row r="62" spans="1:18" ht="14.45">
      <c r="A62" s="8" t="s">
        <v>360</v>
      </c>
      <c r="B62" s="8"/>
      <c r="C62" s="8"/>
      <c r="D62" s="8" t="s">
        <v>320</v>
      </c>
      <c r="E62" s="8"/>
      <c r="F62" s="8"/>
      <c r="G62" s="8" t="s">
        <v>351</v>
      </c>
      <c r="H62" s="8">
        <v>100</v>
      </c>
      <c r="I62" s="8" t="s">
        <v>98</v>
      </c>
      <c r="J62" s="8"/>
      <c r="K62" s="8"/>
      <c r="L62" s="8"/>
      <c r="M62" s="8" t="s">
        <v>327</v>
      </c>
      <c r="N62" s="46"/>
      <c r="O62" s="7"/>
      <c r="P62" s="46">
        <v>60</v>
      </c>
      <c r="Q62" s="88" t="s">
        <v>2854</v>
      </c>
      <c r="R62" t="s">
        <v>2855</v>
      </c>
    </row>
    <row r="63" spans="1:18" ht="14.45">
      <c r="A63" s="8" t="s">
        <v>363</v>
      </c>
      <c r="B63" s="8"/>
      <c r="C63" s="8"/>
      <c r="D63" s="8" t="s">
        <v>320</v>
      </c>
      <c r="E63" s="8"/>
      <c r="F63" s="8"/>
      <c r="G63" s="8" t="s">
        <v>351</v>
      </c>
      <c r="H63" s="8">
        <v>100</v>
      </c>
      <c r="I63" s="8" t="s">
        <v>98</v>
      </c>
      <c r="J63" s="8"/>
      <c r="K63" s="8"/>
      <c r="L63" s="8"/>
      <c r="M63" s="8" t="s">
        <v>327</v>
      </c>
      <c r="N63" s="46"/>
      <c r="O63" s="7"/>
      <c r="P63" s="46">
        <v>61</v>
      </c>
      <c r="Q63" s="88" t="s">
        <v>2856</v>
      </c>
      <c r="R63" t="s">
        <v>2857</v>
      </c>
    </row>
    <row r="64" spans="1:18" ht="14.45">
      <c r="A64" s="8" t="s">
        <v>366</v>
      </c>
      <c r="B64" s="8"/>
      <c r="C64" s="8"/>
      <c r="D64" s="8" t="s">
        <v>320</v>
      </c>
      <c r="E64" s="8"/>
      <c r="F64" s="8"/>
      <c r="G64" s="8" t="s">
        <v>367</v>
      </c>
      <c r="H64" s="8"/>
      <c r="I64" s="8" t="s">
        <v>98</v>
      </c>
      <c r="J64" s="8"/>
      <c r="K64" s="8"/>
      <c r="L64" s="8"/>
      <c r="M64" s="8" t="s">
        <v>368</v>
      </c>
      <c r="N64" s="46"/>
      <c r="O64" s="7"/>
      <c r="P64" s="46">
        <v>62</v>
      </c>
      <c r="Q64" s="88" t="s">
        <v>2858</v>
      </c>
      <c r="R64" t="s">
        <v>2859</v>
      </c>
    </row>
    <row r="65" spans="1:18" ht="14.45">
      <c r="A65" s="8" t="s">
        <v>371</v>
      </c>
      <c r="B65" s="8"/>
      <c r="C65" s="8"/>
      <c r="D65" s="8" t="s">
        <v>320</v>
      </c>
      <c r="E65" s="8"/>
      <c r="F65" s="8"/>
      <c r="G65" s="8" t="s">
        <v>367</v>
      </c>
      <c r="H65" s="8"/>
      <c r="I65" s="8" t="s">
        <v>98</v>
      </c>
      <c r="J65" s="8"/>
      <c r="K65" s="8"/>
      <c r="L65" s="8"/>
      <c r="M65" s="8" t="s">
        <v>368</v>
      </c>
      <c r="N65" s="46"/>
      <c r="O65" s="7"/>
      <c r="P65" s="46">
        <v>63</v>
      </c>
      <c r="Q65" s="88" t="s">
        <v>2860</v>
      </c>
      <c r="R65" t="s">
        <v>2861</v>
      </c>
    </row>
    <row r="66" spans="1:18" ht="14.45">
      <c r="A66" s="8" t="s">
        <v>374</v>
      </c>
      <c r="B66" s="8"/>
      <c r="C66" s="8"/>
      <c r="D66" s="8" t="s">
        <v>320</v>
      </c>
      <c r="E66" s="8"/>
      <c r="F66" s="8"/>
      <c r="G66" s="8" t="s">
        <v>351</v>
      </c>
      <c r="H66" s="8">
        <v>100</v>
      </c>
      <c r="I66" s="8" t="s">
        <v>98</v>
      </c>
      <c r="J66" s="8"/>
      <c r="K66" s="8"/>
      <c r="L66" s="8"/>
      <c r="M66" s="8" t="s">
        <v>327</v>
      </c>
      <c r="N66" s="46"/>
      <c r="O66" s="7"/>
      <c r="P66" s="46">
        <v>64</v>
      </c>
      <c r="Q66" s="88" t="s">
        <v>2862</v>
      </c>
      <c r="R66" t="s">
        <v>2863</v>
      </c>
    </row>
    <row r="68" spans="1:18" ht="14.45">
      <c r="A68" s="21" t="s">
        <v>2864</v>
      </c>
      <c r="B68" s="21"/>
      <c r="C68" s="21"/>
    </row>
    <row r="69" spans="1:18" ht="14.45">
      <c r="A69" t="s">
        <v>2865</v>
      </c>
    </row>
    <row r="70" spans="1:18" ht="14.45">
      <c r="A70" t="s">
        <v>2866</v>
      </c>
    </row>
    <row r="71" spans="1:18" ht="14.45">
      <c r="A71" t="s">
        <v>2867</v>
      </c>
    </row>
    <row r="72" spans="1:18" ht="14.45">
      <c r="A72" t="s">
        <v>2868</v>
      </c>
    </row>
    <row r="74" spans="1:18" ht="14.45">
      <c r="A74" s="21" t="s">
        <v>1032</v>
      </c>
      <c r="B74" s="21"/>
      <c r="C74" s="21"/>
    </row>
    <row r="75" spans="1:18" ht="14.45">
      <c r="A75" t="s">
        <v>2869</v>
      </c>
    </row>
    <row r="76" spans="1:18" ht="14.45">
      <c r="A76" t="s">
        <v>2870</v>
      </c>
    </row>
    <row r="77" spans="1:18" ht="14.45">
      <c r="A77" t="s">
        <v>2871</v>
      </c>
    </row>
    <row r="78" spans="1:18" ht="14.45">
      <c r="A78" t="s">
        <v>2872</v>
      </c>
    </row>
    <row r="80" spans="1:18" ht="14.45">
      <c r="A80" t="s">
        <v>2873</v>
      </c>
    </row>
    <row r="81" spans="1:1" ht="14.45">
      <c r="A81" t="s">
        <v>2874</v>
      </c>
    </row>
    <row r="82" spans="1:1" ht="14.45">
      <c r="A82" t="s">
        <v>2875</v>
      </c>
    </row>
    <row r="83" spans="1:1" ht="14.45">
      <c r="A83" t="s">
        <v>2876</v>
      </c>
    </row>
    <row r="84" spans="1:1" ht="14.45">
      <c r="A84" t="s">
        <v>2877</v>
      </c>
    </row>
    <row r="86" spans="1:1" ht="14.45">
      <c r="A86" t="s">
        <v>2878</v>
      </c>
    </row>
    <row r="87" spans="1:1" ht="14.45">
      <c r="A87" t="s">
        <v>2879</v>
      </c>
    </row>
    <row r="88" spans="1:1" ht="14.45">
      <c r="A88" t="s">
        <v>2880</v>
      </c>
    </row>
    <row r="89" spans="1:1" ht="14.45">
      <c r="A89" t="s">
        <v>2881</v>
      </c>
    </row>
    <row r="90" spans="1:1" ht="14.45">
      <c r="A90" t="s">
        <v>2882</v>
      </c>
    </row>
    <row r="91" spans="1:1" ht="14.45">
      <c r="A91" t="s">
        <v>2883</v>
      </c>
    </row>
    <row r="93" spans="1:1" ht="14.45">
      <c r="A93" t="s">
        <v>2884</v>
      </c>
    </row>
    <row r="94" spans="1:1" ht="14.45">
      <c r="A94" t="s">
        <v>2885</v>
      </c>
    </row>
    <row r="96" spans="1:1" ht="14.45">
      <c r="A96" t="s">
        <v>2886</v>
      </c>
    </row>
    <row r="97" spans="1:1" ht="14.45">
      <c r="A97" t="s">
        <v>2887</v>
      </c>
    </row>
    <row r="99" spans="1:1" ht="14.45">
      <c r="A99" t="s">
        <v>2888</v>
      </c>
    </row>
    <row r="100" spans="1:1" ht="14.45">
      <c r="A100" t="s">
        <v>2889</v>
      </c>
    </row>
    <row r="101" spans="1:1" ht="14.45">
      <c r="A101" t="s">
        <v>2890</v>
      </c>
    </row>
    <row r="102" spans="1:1" ht="14.45">
      <c r="A102" t="s">
        <v>2891</v>
      </c>
    </row>
    <row r="103" spans="1:1" ht="14.45">
      <c r="A103" t="s">
        <v>2892</v>
      </c>
    </row>
    <row r="104" spans="1:1" ht="14.45">
      <c r="A104" t="s">
        <v>2893</v>
      </c>
    </row>
    <row r="105" spans="1:1" ht="14.45">
      <c r="A105" t="s">
        <v>2894</v>
      </c>
    </row>
    <row r="106" spans="1:1" ht="14.45">
      <c r="A106" t="s">
        <v>2895</v>
      </c>
    </row>
    <row r="107" spans="1:1" ht="14.45">
      <c r="A107" t="s">
        <v>2896</v>
      </c>
    </row>
    <row r="108" spans="1:1" ht="14.45">
      <c r="A108" t="s">
        <v>2897</v>
      </c>
    </row>
    <row r="109" spans="1:1" ht="14.45">
      <c r="A109" t="s">
        <v>2898</v>
      </c>
    </row>
    <row r="110" spans="1:1" ht="14.45">
      <c r="A110" t="s">
        <v>2899</v>
      </c>
    </row>
    <row r="111" spans="1:1" ht="14.45">
      <c r="A111" t="s">
        <v>2900</v>
      </c>
    </row>
    <row r="112" spans="1:1" ht="14.45">
      <c r="A112" t="s">
        <v>2901</v>
      </c>
    </row>
    <row r="115" spans="1:3" ht="14.45">
      <c r="A115" s="21" t="s">
        <v>1698</v>
      </c>
      <c r="B115" s="21"/>
      <c r="C115" s="21"/>
    </row>
    <row r="116" spans="1:3" ht="14.45">
      <c r="A116" s="36" t="s">
        <v>2902</v>
      </c>
      <c r="B116" s="36"/>
      <c r="C116" s="36"/>
    </row>
    <row r="117" spans="1:3" ht="14.45">
      <c r="A117" s="103"/>
      <c r="B117" s="103"/>
      <c r="C117" s="103"/>
    </row>
    <row r="119" spans="1:3" ht="14.45">
      <c r="A119" t="s">
        <v>2903</v>
      </c>
    </row>
  </sheetData>
  <autoFilter ref="A2:P66" xr:uid="{45D627BB-4464-48F0-A196-95BB4462D1D7}">
    <sortState xmlns:xlrd2="http://schemas.microsoft.com/office/spreadsheetml/2017/richdata2" ref="A3:P66">
      <sortCondition ref="P2:P66"/>
    </sortState>
  </autoFilter>
  <sortState xmlns:xlrd2="http://schemas.microsoft.com/office/spreadsheetml/2017/richdata2" ref="A3:P66">
    <sortCondition ref="A3:A66"/>
  </sortState>
  <conditionalFormatting sqref="Q3:Q66">
    <cfRule type="expression" dxfId="84" priority="1">
      <formula>$L3="Y"</formula>
    </cfRule>
    <cfRule type="expression" dxfId="83" priority="2">
      <formula>$J3="Foreign"</formula>
    </cfRule>
    <cfRule type="expression" dxfId="82" priority="3">
      <formula>$J3="Business"</formula>
    </cfRule>
    <cfRule type="expression" dxfId="81" priority="4">
      <formula>$J3="Primary"</formula>
    </cfRule>
  </conditionalFormatting>
  <conditionalFormatting sqref="Q28:Q44 Q49:Q53">
    <cfRule type="duplicateValues" dxfId="80" priority="250"/>
  </conditionalFormatting>
  <conditionalFormatting sqref="Q3:Q26">
    <cfRule type="duplicateValues" dxfId="79" priority="334"/>
  </conditionalFormatting>
  <conditionalFormatting sqref="Q45:Q48 Q56:Q66">
    <cfRule type="duplicateValues" dxfId="78" priority="362"/>
  </conditionalFormatting>
  <conditionalFormatting sqref="Q3:Q66">
    <cfRule type="duplicateValues" dxfId="77" priority="381"/>
  </conditionalFormatting>
  <hyperlinks>
    <hyperlink ref="A116" location="'Matters to Migrate'!A1" display="See Matters to Migrate sheet" xr:uid="{FA204EC1-C45F-4218-8CAC-2D41DC06A055}"/>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3EF15-95AE-4E35-889F-B93968A4ED89}">
  <sheetPr>
    <tabColor rgb="FF00B0F0"/>
  </sheetPr>
  <dimension ref="A1:P29"/>
  <sheetViews>
    <sheetView topLeftCell="C1" workbookViewId="0">
      <selection activeCell="C2" sqref="C2"/>
    </sheetView>
  </sheetViews>
  <sheetFormatPr defaultRowHeight="15" customHeight="1"/>
  <cols>
    <col min="1" max="1" width="38.85546875" customWidth="1"/>
    <col min="2" max="2" width="16.7109375" customWidth="1"/>
    <col min="3" max="3" width="16" customWidth="1"/>
    <col min="4" max="4" width="20.7109375" customWidth="1"/>
    <col min="5" max="5" width="29.85546875" customWidth="1"/>
    <col min="6" max="6" width="28.7109375" customWidth="1"/>
    <col min="7" max="9" width="15.7109375" customWidth="1"/>
    <col min="10" max="13" width="20.7109375" customWidth="1"/>
    <col min="14" max="14" width="15.7109375" bestFit="1" customWidth="1"/>
    <col min="15" max="15" width="39.28515625" customWidth="1"/>
    <col min="16" max="16" width="17.28515625" bestFit="1" customWidth="1"/>
  </cols>
  <sheetData>
    <row r="1" spans="1:16" ht="60" customHeight="1">
      <c r="A1" s="1" t="s">
        <v>2904</v>
      </c>
      <c r="B1" s="1"/>
      <c r="C1" s="1"/>
      <c r="F1" s="2" t="s">
        <v>297</v>
      </c>
      <c r="K1" s="3" t="s">
        <v>298</v>
      </c>
      <c r="L1" s="4" t="s">
        <v>299</v>
      </c>
      <c r="M1" s="19" t="s">
        <v>300</v>
      </c>
      <c r="N1" s="23" t="s">
        <v>301</v>
      </c>
    </row>
    <row r="2" spans="1:16"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row>
    <row r="3" spans="1:16" ht="14.45">
      <c r="A3" s="6" t="s">
        <v>2905</v>
      </c>
      <c r="B3" s="6" t="s">
        <v>319</v>
      </c>
      <c r="C3" s="6"/>
      <c r="D3" s="6" t="s">
        <v>320</v>
      </c>
      <c r="E3" s="6"/>
      <c r="F3" s="6"/>
      <c r="G3" s="6" t="s">
        <v>319</v>
      </c>
      <c r="H3" s="6">
        <v>4</v>
      </c>
      <c r="I3" s="6" t="s">
        <v>98</v>
      </c>
      <c r="J3" s="6" t="s">
        <v>1177</v>
      </c>
      <c r="K3" s="6"/>
      <c r="L3" s="6"/>
      <c r="M3" s="6">
        <v>-1</v>
      </c>
      <c r="N3" s="46"/>
      <c r="O3" s="7"/>
      <c r="P3" s="46">
        <v>1</v>
      </c>
    </row>
    <row r="4" spans="1:16" ht="14.45">
      <c r="A4" s="9" t="s">
        <v>1239</v>
      </c>
      <c r="B4" s="9" t="s">
        <v>351</v>
      </c>
      <c r="C4" s="9">
        <v>20</v>
      </c>
      <c r="D4" s="95" t="s">
        <v>45</v>
      </c>
      <c r="E4" s="95" t="s">
        <v>2906</v>
      </c>
      <c r="F4" s="9" t="s">
        <v>2907</v>
      </c>
      <c r="G4" s="9" t="s">
        <v>351</v>
      </c>
      <c r="H4" s="9">
        <v>20</v>
      </c>
      <c r="I4" s="9" t="s">
        <v>98</v>
      </c>
      <c r="J4" s="9"/>
      <c r="K4" s="9"/>
      <c r="L4" s="9"/>
      <c r="M4" s="9"/>
      <c r="N4" s="46"/>
      <c r="O4" s="7"/>
      <c r="P4" s="46">
        <v>2</v>
      </c>
    </row>
    <row r="5" spans="1:16" ht="14.45">
      <c r="A5" s="9" t="s">
        <v>487</v>
      </c>
      <c r="B5" s="9" t="s">
        <v>325</v>
      </c>
      <c r="C5" s="9">
        <v>10</v>
      </c>
      <c r="D5" s="95"/>
      <c r="E5" s="95"/>
      <c r="F5" s="9"/>
      <c r="G5" s="9" t="s">
        <v>325</v>
      </c>
      <c r="H5" s="9">
        <v>10</v>
      </c>
      <c r="I5" s="9" t="s">
        <v>98</v>
      </c>
      <c r="J5" s="9" t="s">
        <v>2561</v>
      </c>
      <c r="K5" s="9"/>
      <c r="L5" s="9" t="s">
        <v>2456</v>
      </c>
      <c r="M5" s="9"/>
      <c r="N5" s="46"/>
      <c r="O5" s="7"/>
      <c r="P5" s="46"/>
    </row>
    <row r="6" spans="1:16" ht="14.45">
      <c r="A6" s="27" t="s">
        <v>686</v>
      </c>
      <c r="B6" s="27" t="s">
        <v>319</v>
      </c>
      <c r="C6" s="27"/>
      <c r="D6" s="99" t="s">
        <v>66</v>
      </c>
      <c r="E6" s="99" t="s">
        <v>182</v>
      </c>
      <c r="F6" s="27" t="s">
        <v>686</v>
      </c>
      <c r="G6" s="27" t="s">
        <v>319</v>
      </c>
      <c r="H6" s="27"/>
      <c r="I6" s="27" t="s">
        <v>98</v>
      </c>
      <c r="J6" s="27" t="s">
        <v>2908</v>
      </c>
      <c r="K6" s="27"/>
      <c r="L6" s="27"/>
      <c r="M6" s="27"/>
      <c r="N6" s="46"/>
      <c r="O6" s="7"/>
      <c r="P6" s="46"/>
    </row>
    <row r="7" spans="1:16" ht="14.45">
      <c r="A7" s="22" t="s">
        <v>1248</v>
      </c>
      <c r="B7" s="22" t="s">
        <v>319</v>
      </c>
      <c r="C7" s="22"/>
      <c r="D7" s="84" t="s">
        <v>60</v>
      </c>
      <c r="E7" s="84" t="s">
        <v>189</v>
      </c>
      <c r="F7" s="22" t="s">
        <v>1248</v>
      </c>
      <c r="G7" s="22" t="s">
        <v>319</v>
      </c>
      <c r="H7" s="22"/>
      <c r="I7" s="22" t="s">
        <v>74</v>
      </c>
      <c r="J7" s="22" t="s">
        <v>2909</v>
      </c>
      <c r="K7" s="22"/>
      <c r="L7" s="22"/>
      <c r="M7" s="22">
        <v>-1</v>
      </c>
      <c r="N7" s="46"/>
      <c r="O7" s="7"/>
      <c r="P7" s="46"/>
    </row>
    <row r="8" spans="1:16" ht="14.45">
      <c r="A8" s="7" t="s">
        <v>345</v>
      </c>
      <c r="B8" s="7" t="s">
        <v>346</v>
      </c>
      <c r="C8" s="7"/>
      <c r="D8" s="7" t="s">
        <v>45</v>
      </c>
      <c r="E8" s="7" t="s">
        <v>2906</v>
      </c>
      <c r="F8" s="83" t="s">
        <v>347</v>
      </c>
      <c r="G8" s="83" t="s">
        <v>346</v>
      </c>
      <c r="H8" s="83"/>
      <c r="I8" s="83" t="s">
        <v>98</v>
      </c>
      <c r="J8" s="83"/>
      <c r="K8" s="83"/>
      <c r="L8" s="87"/>
      <c r="M8" s="83"/>
      <c r="N8" s="46"/>
      <c r="O8" s="7" t="s">
        <v>2910</v>
      </c>
      <c r="P8" s="46"/>
    </row>
    <row r="9" spans="1:16" ht="14.45">
      <c r="A9" s="7" t="s">
        <v>1590</v>
      </c>
      <c r="B9" s="7" t="s">
        <v>367</v>
      </c>
      <c r="C9" s="7"/>
      <c r="D9" s="7" t="s">
        <v>45</v>
      </c>
      <c r="E9" s="7" t="s">
        <v>2906</v>
      </c>
      <c r="F9" s="7" t="s">
        <v>2911</v>
      </c>
      <c r="G9" s="7" t="s">
        <v>367</v>
      </c>
      <c r="H9" s="7"/>
      <c r="I9" s="7" t="s">
        <v>74</v>
      </c>
      <c r="J9" s="7"/>
      <c r="K9" s="7"/>
      <c r="L9" s="7"/>
      <c r="M9" s="7" t="s">
        <v>368</v>
      </c>
      <c r="N9" s="46"/>
      <c r="O9" s="7" t="s">
        <v>2910</v>
      </c>
      <c r="P9" s="46"/>
    </row>
    <row r="10" spans="1:16" ht="14.45">
      <c r="A10" s="8" t="s">
        <v>350</v>
      </c>
      <c r="B10" s="8"/>
      <c r="C10" s="8"/>
      <c r="D10" s="8" t="s">
        <v>320</v>
      </c>
      <c r="E10" s="8"/>
      <c r="F10" s="8"/>
      <c r="G10" s="8" t="s">
        <v>351</v>
      </c>
      <c r="H10" s="8">
        <v>100</v>
      </c>
      <c r="I10" s="8" t="s">
        <v>98</v>
      </c>
      <c r="J10" s="8"/>
      <c r="K10" s="8"/>
      <c r="L10" s="8"/>
      <c r="M10" s="8" t="s">
        <v>327</v>
      </c>
      <c r="N10" s="46"/>
      <c r="O10" s="7"/>
      <c r="P10" s="46">
        <v>8</v>
      </c>
    </row>
    <row r="11" spans="1:16" ht="14.45">
      <c r="A11" s="8" t="s">
        <v>354</v>
      </c>
      <c r="B11" s="8"/>
      <c r="C11" s="8"/>
      <c r="D11" s="8" t="s">
        <v>320</v>
      </c>
      <c r="E11" s="8"/>
      <c r="F11" s="8"/>
      <c r="G11" s="8" t="s">
        <v>351</v>
      </c>
      <c r="H11" s="8">
        <v>100</v>
      </c>
      <c r="I11" s="8" t="s">
        <v>98</v>
      </c>
      <c r="J11" s="8"/>
      <c r="K11" s="8"/>
      <c r="L11" s="8"/>
      <c r="M11" s="8" t="s">
        <v>327</v>
      </c>
      <c r="N11" s="46"/>
      <c r="O11" s="7"/>
      <c r="P11" s="46">
        <v>9</v>
      </c>
    </row>
    <row r="12" spans="1:16" ht="14.45">
      <c r="A12" s="8" t="s">
        <v>357</v>
      </c>
      <c r="B12" s="8"/>
      <c r="C12" s="8"/>
      <c r="D12" s="8" t="s">
        <v>320</v>
      </c>
      <c r="E12" s="8"/>
      <c r="F12" s="8"/>
      <c r="G12" s="8" t="s">
        <v>351</v>
      </c>
      <c r="H12" s="8">
        <v>100</v>
      </c>
      <c r="I12" s="8" t="s">
        <v>98</v>
      </c>
      <c r="J12" s="8"/>
      <c r="K12" s="8"/>
      <c r="L12" s="8"/>
      <c r="M12" s="8" t="s">
        <v>327</v>
      </c>
      <c r="N12" s="46"/>
      <c r="O12" s="7"/>
      <c r="P12" s="46">
        <v>10</v>
      </c>
    </row>
    <row r="13" spans="1:16" ht="14.45">
      <c r="A13" s="8" t="s">
        <v>360</v>
      </c>
      <c r="B13" s="8"/>
      <c r="C13" s="8"/>
      <c r="D13" s="8" t="s">
        <v>320</v>
      </c>
      <c r="E13" s="8"/>
      <c r="F13" s="8"/>
      <c r="G13" s="8" t="s">
        <v>351</v>
      </c>
      <c r="H13" s="8">
        <v>100</v>
      </c>
      <c r="I13" s="8" t="s">
        <v>98</v>
      </c>
      <c r="J13" s="8"/>
      <c r="K13" s="8"/>
      <c r="L13" s="8"/>
      <c r="M13" s="8" t="s">
        <v>327</v>
      </c>
      <c r="N13" s="46"/>
      <c r="O13" s="7"/>
      <c r="P13" s="46">
        <v>11</v>
      </c>
    </row>
    <row r="14" spans="1:16" ht="14.45">
      <c r="A14" s="8" t="s">
        <v>363</v>
      </c>
      <c r="B14" s="8"/>
      <c r="C14" s="8"/>
      <c r="D14" s="8" t="s">
        <v>320</v>
      </c>
      <c r="E14" s="8"/>
      <c r="F14" s="8"/>
      <c r="G14" s="8" t="s">
        <v>351</v>
      </c>
      <c r="H14" s="8">
        <v>100</v>
      </c>
      <c r="I14" s="8" t="s">
        <v>98</v>
      </c>
      <c r="J14" s="8"/>
      <c r="K14" s="8"/>
      <c r="L14" s="8"/>
      <c r="M14" s="8" t="s">
        <v>327</v>
      </c>
      <c r="N14" s="46"/>
      <c r="O14" s="7"/>
      <c r="P14" s="46">
        <v>12</v>
      </c>
    </row>
    <row r="15" spans="1:16" ht="14.45">
      <c r="A15" s="8" t="s">
        <v>366</v>
      </c>
      <c r="B15" s="8"/>
      <c r="C15" s="8"/>
      <c r="D15" s="8" t="s">
        <v>320</v>
      </c>
      <c r="E15" s="8"/>
      <c r="F15" s="8"/>
      <c r="G15" s="8" t="s">
        <v>367</v>
      </c>
      <c r="H15" s="8"/>
      <c r="I15" s="8" t="s">
        <v>98</v>
      </c>
      <c r="J15" s="8"/>
      <c r="K15" s="8"/>
      <c r="L15" s="8"/>
      <c r="M15" s="8" t="s">
        <v>368</v>
      </c>
      <c r="N15" s="46"/>
      <c r="O15" s="7"/>
      <c r="P15" s="46">
        <v>13</v>
      </c>
    </row>
    <row r="16" spans="1:16" ht="14.45">
      <c r="A16" s="8" t="s">
        <v>371</v>
      </c>
      <c r="B16" s="8"/>
      <c r="C16" s="8"/>
      <c r="D16" s="8" t="s">
        <v>320</v>
      </c>
      <c r="E16" s="8"/>
      <c r="F16" s="8"/>
      <c r="G16" s="8" t="s">
        <v>367</v>
      </c>
      <c r="H16" s="8"/>
      <c r="I16" s="8" t="s">
        <v>98</v>
      </c>
      <c r="J16" s="8"/>
      <c r="K16" s="8"/>
      <c r="L16" s="8"/>
      <c r="M16" s="8" t="s">
        <v>368</v>
      </c>
      <c r="N16" s="46"/>
      <c r="O16" s="7"/>
      <c r="P16" s="46">
        <v>14</v>
      </c>
    </row>
    <row r="17" spans="1:16" ht="14.45">
      <c r="A17" s="8" t="s">
        <v>374</v>
      </c>
      <c r="B17" s="8"/>
      <c r="C17" s="8"/>
      <c r="D17" s="8" t="s">
        <v>320</v>
      </c>
      <c r="E17" s="8"/>
      <c r="F17" s="8"/>
      <c r="G17" s="8" t="s">
        <v>351</v>
      </c>
      <c r="H17" s="8">
        <v>100</v>
      </c>
      <c r="I17" s="8" t="s">
        <v>98</v>
      </c>
      <c r="J17" s="8"/>
      <c r="K17" s="8"/>
      <c r="L17" s="8"/>
      <c r="M17" s="8" t="s">
        <v>327</v>
      </c>
      <c r="N17" s="46"/>
      <c r="O17" s="7"/>
      <c r="P17" s="46">
        <v>15</v>
      </c>
    </row>
    <row r="19" spans="1:16" ht="14.45">
      <c r="A19" t="s">
        <v>2912</v>
      </c>
    </row>
    <row r="20" spans="1:16" ht="14.45">
      <c r="A20" s="40" t="s">
        <v>2913</v>
      </c>
      <c r="B20" s="40"/>
      <c r="C20" s="40"/>
    </row>
    <row r="22" spans="1:16" ht="14.45">
      <c r="A22" s="21" t="s">
        <v>1032</v>
      </c>
      <c r="B22" s="21"/>
      <c r="C22" s="21"/>
    </row>
    <row r="23" spans="1:16" ht="14.45">
      <c r="A23" t="s">
        <v>2914</v>
      </c>
    </row>
    <row r="24" spans="1:16" ht="14.45">
      <c r="A24" s="35" t="s">
        <v>2915</v>
      </c>
      <c r="B24" s="35"/>
      <c r="C24" s="35"/>
    </row>
    <row r="26" spans="1:16" ht="14.45">
      <c r="A26" s="21" t="s">
        <v>1698</v>
      </c>
      <c r="B26" s="21"/>
      <c r="C26" s="21"/>
    </row>
    <row r="27" spans="1:16" ht="14.45">
      <c r="A27" s="35" t="s">
        <v>2916</v>
      </c>
      <c r="B27" s="35"/>
      <c r="C27" s="35"/>
    </row>
    <row r="28" spans="1:16" ht="14.45">
      <c r="A28" t="s">
        <v>2917</v>
      </c>
    </row>
    <row r="29" spans="1:16" ht="14.45">
      <c r="A29" s="36" t="s">
        <v>2902</v>
      </c>
      <c r="B29" s="36"/>
      <c r="C29" s="36"/>
    </row>
  </sheetData>
  <hyperlinks>
    <hyperlink ref="A29" location="'Matters to Migrate'!A1" display="See Matters to Migrate sheet" xr:uid="{D4D5F3B2-72F9-40E7-B229-BE38FFA2B04C}"/>
  </hyperlink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B011A-0CDC-4658-8A93-1133DD3A11E4}">
  <sheetPr codeName="Sheet51">
    <tabColor rgb="FF00B0F0"/>
  </sheetPr>
  <dimension ref="A1:R77"/>
  <sheetViews>
    <sheetView zoomScale="80" zoomScaleNormal="80" workbookViewId="0">
      <pane xSplit="1" ySplit="2" topLeftCell="B3" activePane="bottomRight" state="frozen"/>
      <selection pane="bottomRight" activeCell="A26" sqref="A26"/>
      <selection pane="bottomLeft" activeCell="A3" sqref="A3"/>
      <selection pane="topRight" activeCell="B1" sqref="B1"/>
    </sheetView>
  </sheetViews>
  <sheetFormatPr defaultRowHeight="15" customHeight="1"/>
  <cols>
    <col min="1" max="1" width="40.7109375" customWidth="1"/>
    <col min="2" max="2" width="17.42578125" customWidth="1"/>
    <col min="3" max="3" width="15.140625" customWidth="1"/>
    <col min="4" max="4" width="21.85546875" bestFit="1" customWidth="1"/>
    <col min="5" max="5" width="26.28515625" bestFit="1" customWidth="1"/>
    <col min="6" max="6" width="21" bestFit="1" customWidth="1"/>
    <col min="7" max="7" width="16.85546875" bestFit="1" customWidth="1"/>
    <col min="8" max="8" width="16" bestFit="1" customWidth="1"/>
    <col min="9" max="9" width="17" bestFit="1" customWidth="1"/>
    <col min="10" max="10" width="51" bestFit="1" customWidth="1"/>
    <col min="11" max="11" width="11.85546875" bestFit="1" customWidth="1"/>
    <col min="12" max="12" width="16.28515625" bestFit="1" customWidth="1"/>
    <col min="13" max="13" width="11.5703125" bestFit="1" customWidth="1"/>
    <col min="14" max="14" width="15.7109375" bestFit="1" customWidth="1"/>
    <col min="15" max="15" width="85.42578125" bestFit="1" customWidth="1"/>
    <col min="16" max="16" width="18.28515625" bestFit="1" customWidth="1"/>
    <col min="17" max="17" width="41" bestFit="1" customWidth="1"/>
    <col min="18" max="18" width="56.42578125" bestFit="1" customWidth="1"/>
  </cols>
  <sheetData>
    <row r="1" spans="1:18" ht="60" customHeight="1">
      <c r="A1" s="1" t="s">
        <v>212</v>
      </c>
      <c r="B1" s="1"/>
      <c r="C1" s="1"/>
      <c r="F1" s="2" t="s">
        <v>297</v>
      </c>
      <c r="K1" s="3" t="s">
        <v>298</v>
      </c>
      <c r="L1" s="4" t="s">
        <v>299</v>
      </c>
      <c r="M1" s="19" t="s">
        <v>300</v>
      </c>
      <c r="N1" s="23" t="s">
        <v>301</v>
      </c>
    </row>
    <row r="2" spans="1:18" ht="14.45">
      <c r="A2" s="5" t="s">
        <v>302</v>
      </c>
      <c r="B2" s="143" t="s">
        <v>303</v>
      </c>
      <c r="C2" s="143"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131" t="s">
        <v>2918</v>
      </c>
      <c r="B3" s="128" t="s">
        <v>319</v>
      </c>
      <c r="C3" s="128" t="s">
        <v>2618</v>
      </c>
      <c r="D3" s="137" t="s">
        <v>320</v>
      </c>
      <c r="E3" s="6"/>
      <c r="F3" s="6"/>
      <c r="G3" s="6" t="s">
        <v>319</v>
      </c>
      <c r="H3" s="6"/>
      <c r="I3" s="6" t="s">
        <v>98</v>
      </c>
      <c r="J3" s="6" t="s">
        <v>2425</v>
      </c>
      <c r="K3" s="6"/>
      <c r="L3" s="6"/>
      <c r="M3" s="6">
        <v>-1</v>
      </c>
      <c r="N3" s="46"/>
      <c r="O3" s="7"/>
      <c r="P3" s="46">
        <v>1</v>
      </c>
      <c r="Q3" s="88" t="s">
        <v>2919</v>
      </c>
      <c r="R3" t="s">
        <v>2920</v>
      </c>
    </row>
    <row r="4" spans="1:18" ht="14.45">
      <c r="A4" s="132" t="s">
        <v>1239</v>
      </c>
      <c r="B4" s="145" t="s">
        <v>351</v>
      </c>
      <c r="C4" s="145">
        <v>20</v>
      </c>
      <c r="D4" s="138" t="s">
        <v>40</v>
      </c>
      <c r="E4" s="9" t="s">
        <v>213</v>
      </c>
      <c r="F4" s="9" t="s">
        <v>2921</v>
      </c>
      <c r="G4" s="9" t="s">
        <v>351</v>
      </c>
      <c r="H4" s="9">
        <v>20</v>
      </c>
      <c r="I4" s="9" t="s">
        <v>98</v>
      </c>
      <c r="J4" s="9"/>
      <c r="K4" s="9"/>
      <c r="L4" s="9"/>
      <c r="M4" s="9"/>
      <c r="N4" s="46"/>
      <c r="O4" s="7" t="s">
        <v>2922</v>
      </c>
      <c r="P4" s="46">
        <v>2</v>
      </c>
      <c r="R4" t="s">
        <v>2923</v>
      </c>
    </row>
    <row r="5" spans="1:18" ht="14.45">
      <c r="A5" s="132" t="s">
        <v>1239</v>
      </c>
      <c r="B5" s="145" t="s">
        <v>351</v>
      </c>
      <c r="C5" s="145">
        <v>20</v>
      </c>
      <c r="D5" s="138" t="s">
        <v>12</v>
      </c>
      <c r="E5" s="9" t="s">
        <v>2622</v>
      </c>
      <c r="F5" s="9" t="s">
        <v>2623</v>
      </c>
      <c r="G5" s="9"/>
      <c r="H5" s="9"/>
      <c r="I5" s="9" t="s">
        <v>98</v>
      </c>
      <c r="J5" s="9"/>
      <c r="K5" s="9"/>
      <c r="L5" s="9"/>
      <c r="M5" s="9"/>
      <c r="N5" s="46"/>
      <c r="O5" s="7"/>
      <c r="P5" s="46"/>
    </row>
    <row r="6" spans="1:18" ht="14.45">
      <c r="A6" s="132" t="s">
        <v>487</v>
      </c>
      <c r="B6" s="145" t="s">
        <v>325</v>
      </c>
      <c r="C6" s="145">
        <v>10</v>
      </c>
      <c r="D6" s="138" t="s">
        <v>12</v>
      </c>
      <c r="E6" s="9" t="s">
        <v>2622</v>
      </c>
      <c r="F6" s="9" t="s">
        <v>2155</v>
      </c>
      <c r="G6" s="9" t="s">
        <v>325</v>
      </c>
      <c r="H6" s="9">
        <v>10</v>
      </c>
      <c r="I6" s="9" t="s">
        <v>98</v>
      </c>
      <c r="J6" s="9"/>
      <c r="K6" s="9"/>
      <c r="L6" s="9"/>
      <c r="M6" s="9"/>
      <c r="N6" s="46"/>
      <c r="O6" s="7"/>
      <c r="P6" s="46"/>
      <c r="Q6" s="76"/>
    </row>
    <row r="7" spans="1:18" ht="14.45">
      <c r="A7" s="132" t="s">
        <v>2433</v>
      </c>
      <c r="B7" s="145" t="s">
        <v>351</v>
      </c>
      <c r="C7" s="145">
        <v>20</v>
      </c>
      <c r="D7" s="138" t="s">
        <v>12</v>
      </c>
      <c r="E7" s="9" t="s">
        <v>2432</v>
      </c>
      <c r="F7" s="9" t="s">
        <v>2434</v>
      </c>
      <c r="G7" s="9"/>
      <c r="H7" s="9"/>
      <c r="I7" s="9" t="s">
        <v>98</v>
      </c>
      <c r="J7" s="9" t="s">
        <v>2924</v>
      </c>
      <c r="K7" s="9"/>
      <c r="L7" s="9"/>
      <c r="M7" s="9"/>
      <c r="N7" s="46"/>
      <c r="O7" s="7"/>
      <c r="P7" s="46"/>
    </row>
    <row r="8" spans="1:18" ht="21" customHeight="1">
      <c r="A8" s="147" t="s">
        <v>1036</v>
      </c>
      <c r="B8" s="149" t="s">
        <v>319</v>
      </c>
      <c r="C8" s="149" t="s">
        <v>2618</v>
      </c>
      <c r="D8" s="148" t="s">
        <v>66</v>
      </c>
      <c r="E8" s="27" t="s">
        <v>1035</v>
      </c>
      <c r="F8" s="27" t="s">
        <v>1036</v>
      </c>
      <c r="G8" s="27" t="s">
        <v>319</v>
      </c>
      <c r="H8" s="27"/>
      <c r="I8" s="27" t="s">
        <v>98</v>
      </c>
      <c r="J8" s="27" t="s">
        <v>2925</v>
      </c>
      <c r="K8" s="27"/>
      <c r="L8" s="27"/>
      <c r="M8" s="27"/>
      <c r="N8" s="46"/>
      <c r="O8" s="50" t="s">
        <v>2926</v>
      </c>
      <c r="P8" s="46">
        <v>5</v>
      </c>
      <c r="Q8" s="76" t="s">
        <v>2927</v>
      </c>
      <c r="R8" t="s">
        <v>2928</v>
      </c>
    </row>
    <row r="9" spans="1:18" ht="51" customHeight="1">
      <c r="A9" s="147" t="s">
        <v>1036</v>
      </c>
      <c r="B9" s="149" t="s">
        <v>319</v>
      </c>
      <c r="C9" s="149" t="s">
        <v>2618</v>
      </c>
      <c r="D9" s="148" t="s">
        <v>66</v>
      </c>
      <c r="E9" s="27" t="s">
        <v>1035</v>
      </c>
      <c r="F9" s="27" t="s">
        <v>1036</v>
      </c>
      <c r="G9" s="27" t="s">
        <v>319</v>
      </c>
      <c r="H9" s="27"/>
      <c r="I9" s="27" t="s">
        <v>98</v>
      </c>
      <c r="J9" s="116" t="s">
        <v>2929</v>
      </c>
      <c r="K9" s="27"/>
      <c r="L9" s="27"/>
      <c r="M9" s="27"/>
      <c r="N9" s="46"/>
      <c r="O9" s="50"/>
      <c r="P9" s="46"/>
      <c r="Q9" s="76"/>
    </row>
    <row r="10" spans="1:18" ht="14.45">
      <c r="A10" s="147" t="s">
        <v>927</v>
      </c>
      <c r="B10" s="149" t="s">
        <v>319</v>
      </c>
      <c r="C10" s="149" t="s">
        <v>2618</v>
      </c>
      <c r="D10" s="148" t="s">
        <v>66</v>
      </c>
      <c r="E10" s="27" t="s">
        <v>236</v>
      </c>
      <c r="F10" s="27" t="s">
        <v>927</v>
      </c>
      <c r="G10" s="27" t="s">
        <v>319</v>
      </c>
      <c r="H10" s="27"/>
      <c r="I10" s="27" t="s">
        <v>74</v>
      </c>
      <c r="J10" s="27" t="s">
        <v>2930</v>
      </c>
      <c r="K10" s="27"/>
      <c r="L10" s="27"/>
      <c r="M10" s="27"/>
      <c r="N10" s="46"/>
      <c r="O10" s="7" t="s">
        <v>2931</v>
      </c>
      <c r="P10" s="46">
        <v>6</v>
      </c>
      <c r="R10" t="s">
        <v>2932</v>
      </c>
    </row>
    <row r="11" spans="1:18" ht="14.45">
      <c r="A11" s="147" t="s">
        <v>927</v>
      </c>
      <c r="B11" s="149" t="s">
        <v>319</v>
      </c>
      <c r="C11" s="149" t="s">
        <v>2618</v>
      </c>
      <c r="D11" s="148" t="s">
        <v>66</v>
      </c>
      <c r="E11" s="27" t="s">
        <v>236</v>
      </c>
      <c r="F11" s="27" t="s">
        <v>927</v>
      </c>
      <c r="G11" s="27" t="s">
        <v>319</v>
      </c>
      <c r="H11" s="27"/>
      <c r="I11" s="27" t="s">
        <v>74</v>
      </c>
      <c r="J11" s="27" t="s">
        <v>2933</v>
      </c>
      <c r="K11" s="27"/>
      <c r="L11" s="27"/>
      <c r="M11" s="27"/>
      <c r="N11" s="46"/>
      <c r="O11" s="7"/>
      <c r="P11" s="46"/>
    </row>
    <row r="12" spans="1:18" ht="14.45">
      <c r="A12" s="147" t="s">
        <v>1103</v>
      </c>
      <c r="B12" s="149" t="s">
        <v>319</v>
      </c>
      <c r="C12" s="149" t="s">
        <v>2618</v>
      </c>
      <c r="D12" s="148" t="s">
        <v>66</v>
      </c>
      <c r="E12" s="27" t="s">
        <v>281</v>
      </c>
      <c r="F12" s="27" t="s">
        <v>1103</v>
      </c>
      <c r="G12" s="27" t="s">
        <v>319</v>
      </c>
      <c r="H12" s="27"/>
      <c r="I12" s="27" t="s">
        <v>74</v>
      </c>
      <c r="J12" s="27" t="s">
        <v>2934</v>
      </c>
      <c r="K12" s="27"/>
      <c r="L12" s="27"/>
      <c r="M12" s="27"/>
      <c r="N12" s="46"/>
      <c r="O12" s="7" t="s">
        <v>2931</v>
      </c>
      <c r="P12" s="46">
        <v>7</v>
      </c>
      <c r="R12" t="s">
        <v>2935</v>
      </c>
    </row>
    <row r="13" spans="1:18" ht="14.45">
      <c r="A13" s="147" t="s">
        <v>1103</v>
      </c>
      <c r="B13" s="149" t="s">
        <v>319</v>
      </c>
      <c r="C13" s="149" t="s">
        <v>2618</v>
      </c>
      <c r="D13" s="148" t="s">
        <v>66</v>
      </c>
      <c r="E13" s="27" t="s">
        <v>281</v>
      </c>
      <c r="F13" s="27" t="s">
        <v>1103</v>
      </c>
      <c r="G13" s="27" t="s">
        <v>319</v>
      </c>
      <c r="H13" s="27"/>
      <c r="I13" s="27" t="s">
        <v>74</v>
      </c>
      <c r="J13" s="27" t="s">
        <v>2936</v>
      </c>
      <c r="K13" s="27"/>
      <c r="L13" s="27"/>
      <c r="M13" s="27"/>
      <c r="N13" s="46"/>
      <c r="O13" s="7"/>
      <c r="P13" s="46"/>
    </row>
    <row r="14" spans="1:18" ht="14.45">
      <c r="A14" s="132" t="s">
        <v>2439</v>
      </c>
      <c r="B14" s="145" t="s">
        <v>367</v>
      </c>
      <c r="C14" s="145" t="s">
        <v>2618</v>
      </c>
      <c r="D14" s="138" t="s">
        <v>40</v>
      </c>
      <c r="E14" s="9" t="s">
        <v>213</v>
      </c>
      <c r="F14" s="9" t="s">
        <v>2440</v>
      </c>
      <c r="G14" s="9" t="s">
        <v>367</v>
      </c>
      <c r="H14" s="9">
        <v>8</v>
      </c>
      <c r="I14" s="9" t="s">
        <v>98</v>
      </c>
      <c r="J14" s="9"/>
      <c r="K14" s="9"/>
      <c r="L14" s="9"/>
      <c r="M14" s="9"/>
      <c r="N14" s="46"/>
      <c r="O14" s="7" t="s">
        <v>2937</v>
      </c>
      <c r="P14" s="46">
        <v>8</v>
      </c>
      <c r="Q14" s="76" t="s">
        <v>2938</v>
      </c>
      <c r="R14" t="s">
        <v>2939</v>
      </c>
    </row>
    <row r="15" spans="1:18" ht="14.45">
      <c r="A15" s="132" t="s">
        <v>2439</v>
      </c>
      <c r="B15" s="145" t="s">
        <v>367</v>
      </c>
      <c r="C15" s="145" t="s">
        <v>2618</v>
      </c>
      <c r="D15" s="138" t="s">
        <v>12</v>
      </c>
      <c r="E15" s="9" t="s">
        <v>2622</v>
      </c>
      <c r="F15" s="9" t="s">
        <v>2740</v>
      </c>
      <c r="G15" s="9" t="s">
        <v>367</v>
      </c>
      <c r="H15" s="9"/>
      <c r="I15" s="9" t="s">
        <v>98</v>
      </c>
      <c r="J15" s="9"/>
      <c r="K15" s="9"/>
      <c r="L15" s="9"/>
      <c r="M15" s="9"/>
      <c r="N15" s="46"/>
      <c r="O15" s="7"/>
      <c r="P15" s="46"/>
      <c r="Q15" s="76"/>
    </row>
    <row r="16" spans="1:18" ht="14.45">
      <c r="A16" s="133" t="s">
        <v>2446</v>
      </c>
      <c r="B16" s="129" t="s">
        <v>367</v>
      </c>
      <c r="C16" s="129" t="s">
        <v>2618</v>
      </c>
      <c r="D16" s="139" t="s">
        <v>40</v>
      </c>
      <c r="E16" s="7" t="s">
        <v>213</v>
      </c>
      <c r="F16" s="7" t="s">
        <v>2447</v>
      </c>
      <c r="G16" s="7" t="s">
        <v>367</v>
      </c>
      <c r="H16" s="7">
        <v>8</v>
      </c>
      <c r="I16" s="7" t="s">
        <v>98</v>
      </c>
      <c r="J16" s="7"/>
      <c r="K16" s="7"/>
      <c r="L16" s="7"/>
      <c r="M16" s="7"/>
      <c r="N16" s="46"/>
      <c r="O16" s="7"/>
      <c r="P16" s="46">
        <v>9</v>
      </c>
      <c r="Q16" s="76" t="s">
        <v>2940</v>
      </c>
      <c r="R16" t="s">
        <v>2941</v>
      </c>
    </row>
    <row r="17" spans="1:18" ht="14.45">
      <c r="A17" s="133" t="s">
        <v>2446</v>
      </c>
      <c r="B17" s="129" t="s">
        <v>367</v>
      </c>
      <c r="C17" s="129" t="s">
        <v>2618</v>
      </c>
      <c r="D17" s="139" t="s">
        <v>12</v>
      </c>
      <c r="E17" s="7" t="s">
        <v>2622</v>
      </c>
      <c r="F17" s="7" t="s">
        <v>2745</v>
      </c>
      <c r="G17" s="7" t="s">
        <v>367</v>
      </c>
      <c r="H17" s="7"/>
      <c r="I17" s="7" t="s">
        <v>98</v>
      </c>
      <c r="J17" s="7" t="s">
        <v>2942</v>
      </c>
      <c r="K17" s="7"/>
      <c r="L17" s="7"/>
      <c r="M17" s="7"/>
      <c r="N17" s="46"/>
      <c r="O17" s="7"/>
      <c r="P17" s="46"/>
      <c r="Q17" s="76"/>
    </row>
    <row r="18" spans="1:18" ht="14.45">
      <c r="A18" s="133" t="s">
        <v>2943</v>
      </c>
      <c r="B18" s="129" t="s">
        <v>351</v>
      </c>
      <c r="C18" s="129">
        <v>20</v>
      </c>
      <c r="D18" s="139" t="s">
        <v>40</v>
      </c>
      <c r="E18" s="7" t="s">
        <v>213</v>
      </c>
      <c r="F18" s="7" t="s">
        <v>2944</v>
      </c>
      <c r="G18" s="7" t="s">
        <v>351</v>
      </c>
      <c r="H18" s="7">
        <v>20</v>
      </c>
      <c r="I18" s="7" t="s">
        <v>74</v>
      </c>
      <c r="J18" s="7"/>
      <c r="K18" s="7"/>
      <c r="L18" s="7"/>
      <c r="M18" s="7"/>
      <c r="N18" s="46"/>
      <c r="O18" s="7"/>
      <c r="P18" s="46">
        <v>10</v>
      </c>
      <c r="Q18" s="76"/>
      <c r="R18" t="s">
        <v>2945</v>
      </c>
    </row>
    <row r="19" spans="1:18" ht="14.45">
      <c r="A19" s="133" t="s">
        <v>2943</v>
      </c>
      <c r="B19" s="129" t="s">
        <v>351</v>
      </c>
      <c r="C19" s="129">
        <v>20</v>
      </c>
      <c r="D19" s="139" t="s">
        <v>12</v>
      </c>
      <c r="E19" s="7" t="s">
        <v>2432</v>
      </c>
      <c r="F19" s="7" t="s">
        <v>2434</v>
      </c>
      <c r="G19" s="7"/>
      <c r="H19" s="7"/>
      <c r="I19" s="7" t="s">
        <v>74</v>
      </c>
      <c r="J19" s="7" t="s">
        <v>2099</v>
      </c>
      <c r="K19" s="7"/>
      <c r="L19" s="7"/>
      <c r="M19" s="7"/>
      <c r="N19" s="46"/>
      <c r="O19" s="7"/>
      <c r="P19" s="46"/>
      <c r="Q19" s="76"/>
    </row>
    <row r="20" spans="1:18" ht="14.45">
      <c r="A20" s="133" t="s">
        <v>2452</v>
      </c>
      <c r="B20" s="129" t="s">
        <v>1635</v>
      </c>
      <c r="C20" s="129" t="s">
        <v>2618</v>
      </c>
      <c r="D20" s="139" t="s">
        <v>40</v>
      </c>
      <c r="E20" s="7" t="s">
        <v>213</v>
      </c>
      <c r="F20" s="7" t="s">
        <v>2946</v>
      </c>
      <c r="G20" s="7" t="s">
        <v>1635</v>
      </c>
      <c r="H20" s="7"/>
      <c r="I20" s="7" t="s">
        <v>98</v>
      </c>
      <c r="J20" s="7"/>
      <c r="K20" s="7"/>
      <c r="L20" s="7"/>
      <c r="M20" s="7"/>
      <c r="N20" s="46"/>
      <c r="O20" s="7"/>
      <c r="P20" s="46">
        <v>11</v>
      </c>
      <c r="Q20" s="76" t="s">
        <v>2947</v>
      </c>
      <c r="R20" t="s">
        <v>2948</v>
      </c>
    </row>
    <row r="21" spans="1:18" ht="14.45">
      <c r="A21" s="133" t="s">
        <v>2452</v>
      </c>
      <c r="B21" s="129" t="s">
        <v>1635</v>
      </c>
      <c r="C21" s="129" t="s">
        <v>2618</v>
      </c>
      <c r="D21" s="139" t="s">
        <v>12</v>
      </c>
      <c r="E21" s="7"/>
      <c r="F21" s="7"/>
      <c r="G21" s="7"/>
      <c r="H21" s="7"/>
      <c r="I21" s="7" t="s">
        <v>98</v>
      </c>
      <c r="J21" s="7">
        <v>100</v>
      </c>
      <c r="K21" s="7"/>
      <c r="L21" s="7" t="s">
        <v>2456</v>
      </c>
      <c r="M21" s="7"/>
      <c r="N21" s="46"/>
      <c r="O21" s="7"/>
      <c r="P21" s="46"/>
      <c r="Q21" s="76"/>
    </row>
    <row r="22" spans="1:18" ht="14.45">
      <c r="A22" s="136" t="s">
        <v>1248</v>
      </c>
      <c r="B22" s="130" t="s">
        <v>319</v>
      </c>
      <c r="C22" s="130" t="s">
        <v>2618</v>
      </c>
      <c r="D22" s="142" t="s">
        <v>60</v>
      </c>
      <c r="E22" s="22" t="s">
        <v>189</v>
      </c>
      <c r="F22" s="22" t="s">
        <v>1248</v>
      </c>
      <c r="G22" s="22" t="s">
        <v>319</v>
      </c>
      <c r="H22" s="22"/>
      <c r="I22" s="22" t="s">
        <v>74</v>
      </c>
      <c r="J22" s="22"/>
      <c r="K22" s="22"/>
      <c r="L22" s="22"/>
      <c r="M22" s="22">
        <v>-1</v>
      </c>
      <c r="N22" s="46"/>
      <c r="O22" s="7" t="s">
        <v>2922</v>
      </c>
      <c r="P22" s="46">
        <v>12</v>
      </c>
      <c r="Q22" s="76" t="s">
        <v>2949</v>
      </c>
      <c r="R22" t="s">
        <v>2950</v>
      </c>
    </row>
    <row r="23" spans="1:18" ht="24" customHeight="1">
      <c r="A23" s="136" t="s">
        <v>1292</v>
      </c>
      <c r="B23" s="130" t="s">
        <v>319</v>
      </c>
      <c r="C23" s="130" t="s">
        <v>2618</v>
      </c>
      <c r="D23" s="142" t="s">
        <v>60</v>
      </c>
      <c r="E23" s="22" t="s">
        <v>247</v>
      </c>
      <c r="F23" s="22" t="s">
        <v>1292</v>
      </c>
      <c r="G23" s="22" t="s">
        <v>319</v>
      </c>
      <c r="H23" s="22"/>
      <c r="I23" s="22" t="s">
        <v>74</v>
      </c>
      <c r="J23" s="22"/>
      <c r="K23" s="22"/>
      <c r="L23" s="22"/>
      <c r="M23" s="22">
        <v>-1</v>
      </c>
      <c r="N23" s="46"/>
      <c r="O23" s="50" t="s">
        <v>2951</v>
      </c>
      <c r="P23" s="46">
        <v>13</v>
      </c>
      <c r="Q23" s="88" t="s">
        <v>2952</v>
      </c>
      <c r="R23" t="s">
        <v>2953</v>
      </c>
    </row>
    <row r="24" spans="1:18" ht="24" customHeight="1">
      <c r="A24" s="136" t="s">
        <v>2954</v>
      </c>
      <c r="B24" s="130" t="s">
        <v>319</v>
      </c>
      <c r="C24" s="130" t="s">
        <v>2618</v>
      </c>
      <c r="D24" s="142" t="s">
        <v>60</v>
      </c>
      <c r="E24" s="22" t="s">
        <v>247</v>
      </c>
      <c r="F24" s="22" t="s">
        <v>1292</v>
      </c>
      <c r="G24" s="22" t="s">
        <v>319</v>
      </c>
      <c r="H24" s="22"/>
      <c r="I24" s="22" t="s">
        <v>74</v>
      </c>
      <c r="J24" s="22"/>
      <c r="K24" s="22"/>
      <c r="L24" s="22"/>
      <c r="M24" s="22"/>
      <c r="N24" s="46"/>
      <c r="O24" s="50"/>
      <c r="P24" s="46">
        <v>14</v>
      </c>
      <c r="Q24" s="88"/>
      <c r="R24" t="s">
        <v>2955</v>
      </c>
    </row>
    <row r="25" spans="1:18" ht="14.45">
      <c r="A25" s="133" t="s">
        <v>345</v>
      </c>
      <c r="B25" s="129" t="s">
        <v>346</v>
      </c>
      <c r="C25" s="129" t="s">
        <v>2618</v>
      </c>
      <c r="D25" s="139" t="s">
        <v>40</v>
      </c>
      <c r="E25" s="7" t="s">
        <v>213</v>
      </c>
      <c r="F25" s="7" t="s">
        <v>2463</v>
      </c>
      <c r="G25" s="7" t="s">
        <v>2464</v>
      </c>
      <c r="H25" s="7">
        <v>2</v>
      </c>
      <c r="I25" s="7" t="s">
        <v>74</v>
      </c>
      <c r="J25" s="7" t="s">
        <v>2465</v>
      </c>
      <c r="K25" s="7"/>
      <c r="L25" s="7"/>
      <c r="M25" s="7" t="s">
        <v>327</v>
      </c>
      <c r="N25" s="46"/>
      <c r="O25" s="7" t="s">
        <v>2956</v>
      </c>
      <c r="P25" s="46">
        <v>15</v>
      </c>
      <c r="Q25" s="76" t="s">
        <v>2957</v>
      </c>
      <c r="R25" t="s">
        <v>2958</v>
      </c>
    </row>
    <row r="26" spans="1:18" ht="14.45">
      <c r="A26" s="133" t="s">
        <v>345</v>
      </c>
      <c r="B26" s="129" t="s">
        <v>346</v>
      </c>
      <c r="C26" s="129" t="s">
        <v>2618</v>
      </c>
      <c r="D26" s="139" t="s">
        <v>12</v>
      </c>
      <c r="E26" s="7" t="s">
        <v>2622</v>
      </c>
      <c r="F26" s="7" t="s">
        <v>347</v>
      </c>
      <c r="G26" s="7" t="s">
        <v>346</v>
      </c>
      <c r="H26" s="7"/>
      <c r="I26" s="7" t="s">
        <v>74</v>
      </c>
      <c r="J26" s="7"/>
      <c r="K26" s="7"/>
      <c r="L26" s="7"/>
      <c r="M26" s="7"/>
      <c r="N26" s="46"/>
      <c r="O26" s="7"/>
      <c r="P26" s="46"/>
      <c r="Q26" s="76"/>
    </row>
    <row r="27" spans="1:18" ht="14.45">
      <c r="A27" s="133" t="s">
        <v>1590</v>
      </c>
      <c r="B27" s="129" t="s">
        <v>367</v>
      </c>
      <c r="C27" s="129" t="s">
        <v>2618</v>
      </c>
      <c r="D27" s="139" t="s">
        <v>40</v>
      </c>
      <c r="E27" s="7" t="s">
        <v>213</v>
      </c>
      <c r="F27" s="7" t="s">
        <v>2469</v>
      </c>
      <c r="G27" s="7" t="s">
        <v>367</v>
      </c>
      <c r="H27" s="7"/>
      <c r="I27" s="7" t="s">
        <v>74</v>
      </c>
      <c r="J27" s="7"/>
      <c r="K27" s="7"/>
      <c r="L27" s="7"/>
      <c r="M27" s="7" t="s">
        <v>368</v>
      </c>
      <c r="N27" s="46"/>
      <c r="O27" s="7"/>
      <c r="P27" s="46">
        <v>16</v>
      </c>
      <c r="Q27" s="97" t="s">
        <v>2959</v>
      </c>
      <c r="R27" t="s">
        <v>2960</v>
      </c>
    </row>
    <row r="28" spans="1:18" ht="14.45">
      <c r="A28" s="133" t="s">
        <v>1590</v>
      </c>
      <c r="B28" s="129" t="s">
        <v>367</v>
      </c>
      <c r="C28" s="129" t="s">
        <v>2618</v>
      </c>
      <c r="D28" s="139" t="s">
        <v>12</v>
      </c>
      <c r="E28" s="7" t="s">
        <v>2622</v>
      </c>
      <c r="F28" s="7" t="s">
        <v>2204</v>
      </c>
      <c r="G28" s="7" t="s">
        <v>367</v>
      </c>
      <c r="H28" s="7"/>
      <c r="I28" s="7" t="s">
        <v>74</v>
      </c>
      <c r="J28" s="7"/>
      <c r="K28" s="7"/>
      <c r="L28" s="7"/>
      <c r="M28" s="7"/>
      <c r="N28" s="46"/>
      <c r="O28" s="7"/>
      <c r="P28" s="46"/>
      <c r="Q28" s="97"/>
    </row>
    <row r="29" spans="1:18" ht="14.45">
      <c r="A29" s="8" t="s">
        <v>350</v>
      </c>
      <c r="B29" s="144"/>
      <c r="C29" s="144"/>
      <c r="D29" s="8" t="s">
        <v>320</v>
      </c>
      <c r="E29" s="8"/>
      <c r="F29" s="8"/>
      <c r="G29" s="8" t="s">
        <v>351</v>
      </c>
      <c r="H29" s="8">
        <v>100</v>
      </c>
      <c r="I29" s="8" t="s">
        <v>98</v>
      </c>
      <c r="J29" s="8"/>
      <c r="K29" s="8"/>
      <c r="L29" s="8"/>
      <c r="M29" s="8" t="s">
        <v>327</v>
      </c>
      <c r="N29" s="46"/>
      <c r="O29" s="7"/>
      <c r="P29" s="46">
        <v>17</v>
      </c>
      <c r="Q29" s="88" t="s">
        <v>2961</v>
      </c>
      <c r="R29" t="s">
        <v>2962</v>
      </c>
    </row>
    <row r="30" spans="1:18" ht="14.45">
      <c r="A30" s="8" t="s">
        <v>354</v>
      </c>
      <c r="B30" s="8"/>
      <c r="C30" s="8"/>
      <c r="D30" s="8" t="s">
        <v>320</v>
      </c>
      <c r="E30" s="8"/>
      <c r="F30" s="8"/>
      <c r="G30" s="8" t="s">
        <v>351</v>
      </c>
      <c r="H30" s="8">
        <v>100</v>
      </c>
      <c r="I30" s="8" t="s">
        <v>98</v>
      </c>
      <c r="J30" s="8"/>
      <c r="K30" s="8"/>
      <c r="L30" s="8"/>
      <c r="M30" s="8" t="s">
        <v>327</v>
      </c>
      <c r="N30" s="46"/>
      <c r="O30" s="7"/>
      <c r="P30" s="46">
        <v>18</v>
      </c>
      <c r="Q30" s="88" t="s">
        <v>2963</v>
      </c>
      <c r="R30" t="s">
        <v>2964</v>
      </c>
    </row>
    <row r="31" spans="1:18" ht="14.45">
      <c r="A31" s="8" t="s">
        <v>357</v>
      </c>
      <c r="B31" s="8"/>
      <c r="C31" s="8"/>
      <c r="D31" s="8" t="s">
        <v>320</v>
      </c>
      <c r="E31" s="8"/>
      <c r="F31" s="8"/>
      <c r="G31" s="8" t="s">
        <v>351</v>
      </c>
      <c r="H31" s="8">
        <v>100</v>
      </c>
      <c r="I31" s="8" t="s">
        <v>98</v>
      </c>
      <c r="J31" s="8"/>
      <c r="K31" s="8"/>
      <c r="L31" s="8"/>
      <c r="M31" s="8" t="s">
        <v>327</v>
      </c>
      <c r="N31" s="46"/>
      <c r="O31" s="7"/>
      <c r="P31" s="46">
        <v>19</v>
      </c>
      <c r="Q31" s="88" t="s">
        <v>2965</v>
      </c>
      <c r="R31" t="s">
        <v>2966</v>
      </c>
    </row>
    <row r="32" spans="1:18" ht="14.45">
      <c r="A32" s="8" t="s">
        <v>360</v>
      </c>
      <c r="B32" s="8"/>
      <c r="C32" s="8"/>
      <c r="D32" s="8" t="s">
        <v>320</v>
      </c>
      <c r="E32" s="8"/>
      <c r="F32" s="8"/>
      <c r="G32" s="8" t="s">
        <v>351</v>
      </c>
      <c r="H32" s="8">
        <v>100</v>
      </c>
      <c r="I32" s="8" t="s">
        <v>98</v>
      </c>
      <c r="J32" s="8"/>
      <c r="K32" s="8"/>
      <c r="L32" s="8"/>
      <c r="M32" s="8" t="s">
        <v>327</v>
      </c>
      <c r="N32" s="46"/>
      <c r="O32" s="7"/>
      <c r="P32" s="46">
        <v>20</v>
      </c>
      <c r="Q32" s="88" t="s">
        <v>2967</v>
      </c>
      <c r="R32" t="s">
        <v>2968</v>
      </c>
    </row>
    <row r="33" spans="1:18" ht="14.45">
      <c r="A33" s="8" t="s">
        <v>363</v>
      </c>
      <c r="B33" s="8"/>
      <c r="C33" s="8"/>
      <c r="D33" s="8" t="s">
        <v>320</v>
      </c>
      <c r="E33" s="8"/>
      <c r="F33" s="8"/>
      <c r="G33" s="8" t="s">
        <v>351</v>
      </c>
      <c r="H33" s="8">
        <v>100</v>
      </c>
      <c r="I33" s="8" t="s">
        <v>98</v>
      </c>
      <c r="J33" s="8"/>
      <c r="K33" s="8"/>
      <c r="L33" s="8"/>
      <c r="M33" s="8" t="s">
        <v>327</v>
      </c>
      <c r="N33" s="46"/>
      <c r="O33" s="7"/>
      <c r="P33" s="46">
        <v>21</v>
      </c>
      <c r="Q33" s="88" t="s">
        <v>2969</v>
      </c>
      <c r="R33" t="s">
        <v>2970</v>
      </c>
    </row>
    <row r="34" spans="1:18" ht="14.45">
      <c r="A34" s="8" t="s">
        <v>366</v>
      </c>
      <c r="B34" s="8"/>
      <c r="C34" s="8"/>
      <c r="D34" s="8" t="s">
        <v>320</v>
      </c>
      <c r="E34" s="8"/>
      <c r="F34" s="8"/>
      <c r="G34" s="8" t="s">
        <v>367</v>
      </c>
      <c r="H34" s="8"/>
      <c r="I34" s="8" t="s">
        <v>98</v>
      </c>
      <c r="J34" s="8"/>
      <c r="K34" s="8"/>
      <c r="L34" s="8"/>
      <c r="M34" s="8" t="s">
        <v>368</v>
      </c>
      <c r="N34" s="46"/>
      <c r="O34" s="7"/>
      <c r="P34" s="46">
        <v>22</v>
      </c>
      <c r="Q34" s="88" t="s">
        <v>2971</v>
      </c>
      <c r="R34" t="s">
        <v>2972</v>
      </c>
    </row>
    <row r="35" spans="1:18" ht="14.45">
      <c r="A35" s="8" t="s">
        <v>371</v>
      </c>
      <c r="B35" s="8"/>
      <c r="C35" s="8"/>
      <c r="D35" s="8" t="s">
        <v>320</v>
      </c>
      <c r="E35" s="8"/>
      <c r="F35" s="8"/>
      <c r="G35" s="8" t="s">
        <v>367</v>
      </c>
      <c r="H35" s="8"/>
      <c r="I35" s="8" t="s">
        <v>98</v>
      </c>
      <c r="J35" s="8"/>
      <c r="K35" s="8"/>
      <c r="L35" s="8"/>
      <c r="M35" s="8" t="s">
        <v>368</v>
      </c>
      <c r="N35" s="46"/>
      <c r="O35" s="7"/>
      <c r="P35" s="46">
        <v>23</v>
      </c>
      <c r="Q35" s="88" t="s">
        <v>2973</v>
      </c>
      <c r="R35" t="s">
        <v>2974</v>
      </c>
    </row>
    <row r="36" spans="1:18" ht="14.45">
      <c r="A36" s="8" t="s">
        <v>374</v>
      </c>
      <c r="B36" s="8"/>
      <c r="C36" s="8"/>
      <c r="D36" s="8" t="s">
        <v>320</v>
      </c>
      <c r="E36" s="8"/>
      <c r="F36" s="8"/>
      <c r="G36" s="8" t="s">
        <v>351</v>
      </c>
      <c r="H36" s="8">
        <v>100</v>
      </c>
      <c r="I36" s="8" t="s">
        <v>98</v>
      </c>
      <c r="J36" s="8"/>
      <c r="K36" s="8"/>
      <c r="L36" s="8"/>
      <c r="M36" s="8" t="s">
        <v>327</v>
      </c>
      <c r="N36" s="46"/>
      <c r="O36" s="7"/>
      <c r="P36" s="46">
        <v>24</v>
      </c>
      <c r="Q36" s="88" t="s">
        <v>2975</v>
      </c>
      <c r="R36" t="s">
        <v>2976</v>
      </c>
    </row>
    <row r="38" spans="1:18" ht="15" customHeight="1">
      <c r="A38" s="21" t="s">
        <v>90</v>
      </c>
      <c r="B38" s="21"/>
      <c r="C38" s="21"/>
    </row>
    <row r="39" spans="1:18" ht="51.75" customHeight="1">
      <c r="A39" s="117" t="s">
        <v>2977</v>
      </c>
      <c r="B39" s="117"/>
      <c r="C39" s="117"/>
    </row>
    <row r="41" spans="1:18" ht="14.45">
      <c r="A41" s="21" t="s">
        <v>2490</v>
      </c>
      <c r="B41" s="21"/>
      <c r="C41" s="21"/>
    </row>
    <row r="42" spans="1:18" ht="14.45">
      <c r="A42" t="s">
        <v>2491</v>
      </c>
    </row>
    <row r="43" spans="1:18" ht="14.45">
      <c r="A43" t="s">
        <v>2978</v>
      </c>
    </row>
    <row r="44" spans="1:18" ht="14.45">
      <c r="A44" t="s">
        <v>2979</v>
      </c>
    </row>
    <row r="45" spans="1:18" ht="14.45">
      <c r="A45" t="s">
        <v>2494</v>
      </c>
    </row>
    <row r="46" spans="1:18" ht="14.45">
      <c r="A46" s="89" t="s">
        <v>2495</v>
      </c>
      <c r="B46" s="89"/>
      <c r="C46" s="89"/>
    </row>
    <row r="47" spans="1:18" ht="14.45">
      <c r="A47" t="s">
        <v>2980</v>
      </c>
    </row>
    <row r="48" spans="1:18" ht="14.45">
      <c r="A48" t="s">
        <v>2981</v>
      </c>
    </row>
    <row r="49" spans="1:3" ht="14.45">
      <c r="A49" t="s">
        <v>2982</v>
      </c>
    </row>
    <row r="50" spans="1:3" ht="14.45">
      <c r="A50" s="35" t="s">
        <v>2497</v>
      </c>
      <c r="B50" s="35"/>
      <c r="C50" s="35"/>
    </row>
    <row r="51" spans="1:3" ht="14.45">
      <c r="A51" t="s">
        <v>2983</v>
      </c>
    </row>
    <row r="52" spans="1:3" ht="14.45">
      <c r="A52" t="s">
        <v>2984</v>
      </c>
    </row>
    <row r="53" spans="1:3" ht="14.45">
      <c r="A53" s="89" t="s">
        <v>2495</v>
      </c>
      <c r="B53" s="89"/>
      <c r="C53" s="89"/>
    </row>
    <row r="54" spans="1:3" ht="14.45">
      <c r="A54" s="35" t="s">
        <v>2497</v>
      </c>
      <c r="B54" s="35"/>
      <c r="C54" s="35"/>
    </row>
    <row r="55" spans="1:3" ht="14.45"/>
    <row r="57" spans="1:3" ht="14.45">
      <c r="A57" s="21" t="s">
        <v>2498</v>
      </c>
      <c r="B57" s="21"/>
      <c r="C57" s="21"/>
    </row>
    <row r="58" spans="1:3" ht="14.45">
      <c r="A58" s="35" t="s">
        <v>2499</v>
      </c>
      <c r="B58" s="35"/>
      <c r="C58" s="35"/>
    </row>
    <row r="59" spans="1:3" ht="14.45">
      <c r="A59" s="35" t="s">
        <v>2985</v>
      </c>
      <c r="B59" s="35"/>
      <c r="C59" s="35"/>
    </row>
    <row r="60" spans="1:3" ht="14.45">
      <c r="A60" s="36" t="s">
        <v>2902</v>
      </c>
      <c r="B60" s="36"/>
      <c r="C60" s="36"/>
    </row>
    <row r="62" spans="1:3" ht="15" customHeight="1">
      <c r="A62" s="21" t="s">
        <v>2501</v>
      </c>
      <c r="B62" s="21"/>
      <c r="C62" s="21"/>
    </row>
    <row r="63" spans="1:3" ht="15" customHeight="1">
      <c r="A63" s="35" t="s">
        <v>2986</v>
      </c>
      <c r="B63" s="35"/>
      <c r="C63" s="35"/>
    </row>
    <row r="64" spans="1:3" ht="15" customHeight="1">
      <c r="A64" s="35" t="s">
        <v>2987</v>
      </c>
      <c r="B64" s="35"/>
      <c r="C64" s="35"/>
    </row>
    <row r="65" spans="1:3" ht="15" customHeight="1">
      <c r="A65" s="35" t="s">
        <v>2988</v>
      </c>
      <c r="B65" s="35"/>
      <c r="C65" s="35"/>
    </row>
    <row r="66" spans="1:3" ht="15" customHeight="1">
      <c r="A66" s="35" t="s">
        <v>2989</v>
      </c>
      <c r="B66" s="35"/>
      <c r="C66" s="35"/>
    </row>
    <row r="67" spans="1:3" ht="15" customHeight="1">
      <c r="A67" t="s">
        <v>2990</v>
      </c>
    </row>
    <row r="68" spans="1:3" ht="15" customHeight="1">
      <c r="A68" s="35" t="s">
        <v>2497</v>
      </c>
      <c r="B68" s="35"/>
      <c r="C68" s="35"/>
    </row>
    <row r="70" spans="1:3" ht="15" customHeight="1">
      <c r="A70" s="21" t="s">
        <v>2504</v>
      </c>
      <c r="B70" s="21"/>
      <c r="C70" s="21"/>
    </row>
    <row r="71" spans="1:3" ht="15" customHeight="1">
      <c r="A71" s="35" t="s">
        <v>2505</v>
      </c>
      <c r="B71" s="35"/>
      <c r="C71" s="35"/>
    </row>
    <row r="72" spans="1:3" ht="15" customHeight="1">
      <c r="A72" s="36" t="s">
        <v>2902</v>
      </c>
      <c r="B72" s="36"/>
      <c r="C72" s="36"/>
    </row>
    <row r="74" spans="1:3" ht="15" customHeight="1">
      <c r="A74" s="88" t="s">
        <v>2991</v>
      </c>
      <c r="B74" s="88"/>
      <c r="C74" s="88"/>
    </row>
    <row r="75" spans="1:3" ht="15" customHeight="1">
      <c r="A75" s="35" t="s">
        <v>2992</v>
      </c>
      <c r="B75" s="35"/>
      <c r="C75" s="35"/>
    </row>
    <row r="76" spans="1:3" ht="15" customHeight="1">
      <c r="A76" s="35" t="s">
        <v>2993</v>
      </c>
      <c r="B76" s="35"/>
      <c r="C76" s="35"/>
    </row>
    <row r="77" spans="1:3" ht="15" customHeight="1">
      <c r="A77" t="s">
        <v>2994</v>
      </c>
    </row>
  </sheetData>
  <conditionalFormatting sqref="Q3">
    <cfRule type="duplicateValues" dxfId="76" priority="8"/>
  </conditionalFormatting>
  <conditionalFormatting sqref="Q23:Q24">
    <cfRule type="duplicateValues" dxfId="75" priority="7"/>
  </conditionalFormatting>
  <conditionalFormatting sqref="Q29:Q36">
    <cfRule type="duplicateValues" dxfId="74" priority="6"/>
  </conditionalFormatting>
  <conditionalFormatting sqref="Q3 Q16:Q21">
    <cfRule type="expression" dxfId="73" priority="1">
      <formula>$L3="Y"</formula>
    </cfRule>
    <cfRule type="expression" dxfId="72" priority="2">
      <formula>$J3="Foreign"</formula>
    </cfRule>
    <cfRule type="expression" dxfId="71" priority="3">
      <formula>$J3="Business"</formula>
    </cfRule>
    <cfRule type="expression" dxfId="70" priority="4">
      <formula>$J3="Primary"</formula>
    </cfRule>
  </conditionalFormatting>
  <conditionalFormatting sqref="Q34:Q36">
    <cfRule type="expression" dxfId="69" priority="197">
      <formula>$L29="Y"</formula>
    </cfRule>
    <cfRule type="expression" dxfId="68" priority="198">
      <formula>$J29="Foreign"</formula>
    </cfRule>
    <cfRule type="expression" dxfId="67" priority="199">
      <formula>$J29="Business"</formula>
    </cfRule>
    <cfRule type="expression" dxfId="66" priority="200">
      <formula>$J29="Primary"</formula>
    </cfRule>
  </conditionalFormatting>
  <conditionalFormatting sqref="Q14:Q15 Q9">
    <cfRule type="expression" dxfId="65" priority="235">
      <formula>$L7="Y"</formula>
    </cfRule>
    <cfRule type="expression" dxfId="64" priority="236">
      <formula>$J7="Foreign"</formula>
    </cfRule>
    <cfRule type="expression" dxfId="63" priority="237">
      <formula>$J7="Business"</formula>
    </cfRule>
    <cfRule type="expression" dxfId="62" priority="238">
      <formula>$J7="Primary"</formula>
    </cfRule>
  </conditionalFormatting>
  <conditionalFormatting sqref="Q24 Q8">
    <cfRule type="expression" dxfId="61" priority="255">
      <formula>#REF!="Y"</formula>
    </cfRule>
    <cfRule type="expression" dxfId="60" priority="256">
      <formula>#REF!="Foreign"</formula>
    </cfRule>
    <cfRule type="expression" dxfId="59" priority="257">
      <formula>#REF!="Business"</formula>
    </cfRule>
    <cfRule type="expression" dxfId="58" priority="258">
      <formula>#REF!="Primary"</formula>
    </cfRule>
  </conditionalFormatting>
  <conditionalFormatting sqref="Q29">
    <cfRule type="expression" dxfId="57" priority="263">
      <formula>$L8="Y"</formula>
    </cfRule>
    <cfRule type="expression" dxfId="56" priority="264">
      <formula>$J8="Foreign"</formula>
    </cfRule>
    <cfRule type="expression" dxfId="55" priority="265">
      <formula>$J8="Business"</formula>
    </cfRule>
    <cfRule type="expression" dxfId="54" priority="266">
      <formula>$J8="Primary"</formula>
    </cfRule>
  </conditionalFormatting>
  <conditionalFormatting sqref="Q25:Q26">
    <cfRule type="expression" dxfId="53" priority="279">
      <formula>$L22="Y"</formula>
    </cfRule>
    <cfRule type="expression" dxfId="52" priority="280">
      <formula>$J22="Foreign"</formula>
    </cfRule>
    <cfRule type="expression" dxfId="51" priority="281">
      <formula>$J22="Business"</formula>
    </cfRule>
    <cfRule type="expression" dxfId="50" priority="282">
      <formula>$J22="Primary"</formula>
    </cfRule>
  </conditionalFormatting>
  <conditionalFormatting sqref="Q30:Q31">
    <cfRule type="expression" dxfId="49" priority="382">
      <formula>#REF!="Y"</formula>
    </cfRule>
    <cfRule type="expression" dxfId="48" priority="383">
      <formula>#REF!="Foreign"</formula>
    </cfRule>
    <cfRule type="expression" dxfId="47" priority="384">
      <formula>#REF!="Business"</formula>
    </cfRule>
    <cfRule type="expression" dxfId="46" priority="385">
      <formula>#REF!="Primary"</formula>
    </cfRule>
  </conditionalFormatting>
  <conditionalFormatting sqref="Q14:Q36 Q3 Q8:Q9 Q6">
    <cfRule type="duplicateValues" dxfId="45" priority="440"/>
  </conditionalFormatting>
  <conditionalFormatting sqref="Q22">
    <cfRule type="expression" dxfId="44" priority="452">
      <formula>$L4="Y"</formula>
    </cfRule>
    <cfRule type="expression" dxfId="43" priority="453">
      <formula>$J4="Foreign"</formula>
    </cfRule>
    <cfRule type="expression" dxfId="42" priority="454">
      <formula>$J4="Business"</formula>
    </cfRule>
    <cfRule type="expression" dxfId="41" priority="455">
      <formula>$J4="Primary"</formula>
    </cfRule>
  </conditionalFormatting>
  <conditionalFormatting sqref="Q23">
    <cfRule type="expression" dxfId="40" priority="456">
      <formula>#REF!="Y"</formula>
    </cfRule>
    <cfRule type="expression" dxfId="39" priority="457">
      <formula>#REF!="Foreign"</formula>
    </cfRule>
    <cfRule type="expression" dxfId="38" priority="458">
      <formula>#REF!="Business"</formula>
    </cfRule>
    <cfRule type="expression" dxfId="37" priority="459">
      <formula>#REF!="Primary"</formula>
    </cfRule>
  </conditionalFormatting>
  <conditionalFormatting sqref="Q6">
    <cfRule type="expression" dxfId="36" priority="464">
      <formula>$L16="Y"</formula>
    </cfRule>
    <cfRule type="expression" dxfId="35" priority="465">
      <formula>$J16="Foreign"</formula>
    </cfRule>
    <cfRule type="expression" dxfId="34" priority="466">
      <formula>$J16="Business"</formula>
    </cfRule>
    <cfRule type="expression" dxfId="33" priority="467">
      <formula>$J16="Primary"</formula>
    </cfRule>
  </conditionalFormatting>
  <conditionalFormatting sqref="Q32">
    <cfRule type="expression" dxfId="32" priority="468">
      <formula>$L25="Y"</formula>
    </cfRule>
    <cfRule type="expression" dxfId="31" priority="469">
      <formula>$J25="Foreign"</formula>
    </cfRule>
    <cfRule type="expression" dxfId="30" priority="470">
      <formula>$J25="Business"</formula>
    </cfRule>
    <cfRule type="expression" dxfId="29" priority="471">
      <formula>$J25="Primary"</formula>
    </cfRule>
  </conditionalFormatting>
  <conditionalFormatting sqref="Q27:Q28">
    <cfRule type="expression" dxfId="28" priority="480">
      <formula>$L23="Y"</formula>
    </cfRule>
    <cfRule type="expression" dxfId="27" priority="481">
      <formula>$J23="Foreign"</formula>
    </cfRule>
    <cfRule type="expression" dxfId="26" priority="482">
      <formula>$J23="Business"</formula>
    </cfRule>
    <cfRule type="expression" dxfId="25" priority="483">
      <formula>$J23="Primary"</formula>
    </cfRule>
  </conditionalFormatting>
  <conditionalFormatting sqref="Q33">
    <cfRule type="expression" dxfId="24" priority="484">
      <formula>$L27="Y"</formula>
    </cfRule>
    <cfRule type="expression" dxfId="23" priority="485">
      <formula>$J27="Foreign"</formula>
    </cfRule>
    <cfRule type="expression" dxfId="22" priority="486">
      <formula>$J27="Business"</formula>
    </cfRule>
    <cfRule type="expression" dxfId="21" priority="487">
      <formula>$J27="Primary"</formula>
    </cfRule>
  </conditionalFormatting>
  <hyperlinks>
    <hyperlink ref="A60" location="'Matters to Migrate'!A1" display="See Matters to Migrate sheet" xr:uid="{2C8456E0-116C-4AC0-AEC3-4A97C8C19ACB}"/>
    <hyperlink ref="A72" location="'Matters to Migrate'!A1" display="See Matters to Migrate sheet" xr:uid="{0AC6B8B2-6E3B-4DE6-BD26-CFE1D1672FDD}"/>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B602B-2D94-4AA6-A4C9-E14D0D8B69C5}">
  <sheetPr>
    <tabColor rgb="FF00B0F0"/>
  </sheetPr>
  <dimension ref="A1:P29"/>
  <sheetViews>
    <sheetView workbookViewId="0">
      <selection activeCell="C2" sqref="C2"/>
    </sheetView>
  </sheetViews>
  <sheetFormatPr defaultRowHeight="15" customHeight="1"/>
  <cols>
    <col min="1" max="1" width="38.85546875" customWidth="1"/>
    <col min="2" max="2" width="16.7109375" customWidth="1"/>
    <col min="3" max="3" width="15.42578125" customWidth="1"/>
    <col min="4" max="4" width="20.7109375" customWidth="1"/>
    <col min="5" max="5" width="29.85546875" customWidth="1"/>
    <col min="6" max="6" width="28.7109375" customWidth="1"/>
    <col min="7" max="9" width="15.7109375" customWidth="1"/>
    <col min="10" max="13" width="20.7109375" customWidth="1"/>
    <col min="14" max="14" width="15.7109375" bestFit="1" customWidth="1"/>
    <col min="15" max="15" width="39.28515625" customWidth="1"/>
    <col min="16" max="16" width="17.28515625" bestFit="1" customWidth="1"/>
  </cols>
  <sheetData>
    <row r="1" spans="1:16" ht="60" customHeight="1">
      <c r="A1" s="1" t="s">
        <v>2995</v>
      </c>
      <c r="B1" s="1"/>
      <c r="C1" s="1"/>
      <c r="F1" s="2" t="s">
        <v>297</v>
      </c>
      <c r="K1" s="3" t="s">
        <v>298</v>
      </c>
      <c r="L1" s="4" t="s">
        <v>299</v>
      </c>
      <c r="M1" s="19" t="s">
        <v>300</v>
      </c>
      <c r="N1" s="23" t="s">
        <v>301</v>
      </c>
    </row>
    <row r="2" spans="1:16"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row>
    <row r="3" spans="1:16" ht="14.45">
      <c r="A3" s="6" t="s">
        <v>2996</v>
      </c>
      <c r="B3" s="6" t="s">
        <v>319</v>
      </c>
      <c r="C3" s="6"/>
      <c r="D3" s="6" t="s">
        <v>320</v>
      </c>
      <c r="E3" s="6"/>
      <c r="F3" s="6"/>
      <c r="G3" s="6" t="s">
        <v>319</v>
      </c>
      <c r="H3" s="6">
        <v>4</v>
      </c>
      <c r="I3" s="6" t="s">
        <v>98</v>
      </c>
      <c r="J3" s="6" t="s">
        <v>1177</v>
      </c>
      <c r="K3" s="6"/>
      <c r="L3" s="6"/>
      <c r="M3" s="6">
        <v>-1</v>
      </c>
      <c r="N3" s="46"/>
      <c r="O3" s="7"/>
      <c r="P3" s="46"/>
    </row>
    <row r="4" spans="1:16" ht="14.45">
      <c r="A4" s="9" t="s">
        <v>1239</v>
      </c>
      <c r="B4" s="9" t="s">
        <v>351</v>
      </c>
      <c r="C4" s="9">
        <v>20</v>
      </c>
      <c r="D4" s="95" t="s">
        <v>45</v>
      </c>
      <c r="E4" s="95" t="s">
        <v>2657</v>
      </c>
      <c r="F4" s="9" t="s">
        <v>2997</v>
      </c>
      <c r="G4" s="9" t="s">
        <v>351</v>
      </c>
      <c r="H4" s="9">
        <v>20</v>
      </c>
      <c r="I4" s="9" t="s">
        <v>98</v>
      </c>
      <c r="J4" s="9" t="s">
        <v>2998</v>
      </c>
      <c r="K4" s="9"/>
      <c r="L4" s="9"/>
      <c r="M4" s="9"/>
      <c r="N4" s="46"/>
      <c r="O4" s="7"/>
      <c r="P4" s="46"/>
    </row>
    <row r="5" spans="1:16" ht="14.45">
      <c r="A5" s="9" t="s">
        <v>2999</v>
      </c>
      <c r="B5" s="9" t="s">
        <v>351</v>
      </c>
      <c r="C5" s="9"/>
      <c r="D5" s="95" t="s">
        <v>45</v>
      </c>
      <c r="E5" s="95" t="s">
        <v>273</v>
      </c>
      <c r="F5" s="9" t="s">
        <v>3000</v>
      </c>
      <c r="G5" s="9" t="s">
        <v>351</v>
      </c>
      <c r="H5" s="9">
        <v>256</v>
      </c>
      <c r="I5" s="9" t="s">
        <v>98</v>
      </c>
      <c r="J5" s="9" t="s">
        <v>3001</v>
      </c>
      <c r="K5" s="9"/>
      <c r="L5" s="9"/>
      <c r="M5" s="9"/>
      <c r="N5" s="46"/>
      <c r="O5" s="7"/>
      <c r="P5" s="46"/>
    </row>
    <row r="6" spans="1:16" ht="14.45">
      <c r="A6" s="9" t="s">
        <v>487</v>
      </c>
      <c r="B6" s="9" t="s">
        <v>325</v>
      </c>
      <c r="C6" s="9">
        <v>10</v>
      </c>
      <c r="D6" s="95" t="s">
        <v>45</v>
      </c>
      <c r="E6" s="95" t="s">
        <v>2657</v>
      </c>
      <c r="F6" s="9" t="s">
        <v>2235</v>
      </c>
      <c r="G6" s="9" t="s">
        <v>325</v>
      </c>
      <c r="H6" s="9">
        <v>10</v>
      </c>
      <c r="I6" s="9" t="s">
        <v>98</v>
      </c>
      <c r="J6" s="9" t="s">
        <v>2236</v>
      </c>
      <c r="K6" s="9"/>
      <c r="L6" s="9"/>
      <c r="M6" s="9"/>
      <c r="N6" s="46"/>
      <c r="O6" s="7"/>
      <c r="P6" s="46"/>
    </row>
    <row r="7" spans="1:16" ht="14.45">
      <c r="A7" s="22" t="s">
        <v>1248</v>
      </c>
      <c r="B7" s="22" t="s">
        <v>319</v>
      </c>
      <c r="C7" s="22"/>
      <c r="D7" s="84" t="s">
        <v>60</v>
      </c>
      <c r="E7" s="84" t="s">
        <v>189</v>
      </c>
      <c r="F7" s="22" t="s">
        <v>1248</v>
      </c>
      <c r="G7" s="22" t="s">
        <v>319</v>
      </c>
      <c r="H7" s="22"/>
      <c r="I7" s="22" t="s">
        <v>74</v>
      </c>
      <c r="J7" s="22" t="s">
        <v>3002</v>
      </c>
      <c r="K7" s="22"/>
      <c r="L7" s="22"/>
      <c r="M7" s="22">
        <v>-1</v>
      </c>
      <c r="N7" s="46"/>
      <c r="O7" s="7"/>
      <c r="P7" s="46"/>
    </row>
    <row r="8" spans="1:16" ht="14.45">
      <c r="A8" s="7" t="s">
        <v>3003</v>
      </c>
      <c r="B8" s="7" t="s">
        <v>351</v>
      </c>
      <c r="C8" s="7"/>
      <c r="D8" s="83" t="s">
        <v>45</v>
      </c>
      <c r="E8" s="83" t="s">
        <v>273</v>
      </c>
      <c r="F8" s="7" t="s">
        <v>1</v>
      </c>
      <c r="G8" s="7" t="s">
        <v>351</v>
      </c>
      <c r="H8" s="7">
        <v>256</v>
      </c>
      <c r="I8" s="7" t="s">
        <v>74</v>
      </c>
      <c r="J8" s="7"/>
      <c r="K8" s="7"/>
      <c r="L8" s="7"/>
      <c r="M8" s="7" t="s">
        <v>327</v>
      </c>
      <c r="N8" s="46"/>
      <c r="O8" s="7"/>
      <c r="P8" s="46"/>
    </row>
    <row r="9" spans="1:16" ht="14.45">
      <c r="A9" s="7" t="s">
        <v>345</v>
      </c>
      <c r="B9" s="7" t="s">
        <v>346</v>
      </c>
      <c r="C9" s="7"/>
      <c r="D9" s="7" t="s">
        <v>45</v>
      </c>
      <c r="E9" s="7" t="s">
        <v>223</v>
      </c>
      <c r="F9" s="83" t="s">
        <v>3004</v>
      </c>
      <c r="G9" s="83" t="s">
        <v>346</v>
      </c>
      <c r="H9" s="83"/>
      <c r="I9" s="83" t="s">
        <v>98</v>
      </c>
      <c r="J9" s="83" t="s">
        <v>3005</v>
      </c>
      <c r="K9" s="83"/>
      <c r="L9" s="87"/>
      <c r="M9" s="83"/>
      <c r="N9" s="46"/>
      <c r="O9" s="7"/>
      <c r="P9" s="46"/>
    </row>
    <row r="10" spans="1:16" ht="14.45">
      <c r="A10" s="7" t="s">
        <v>1590</v>
      </c>
      <c r="B10" s="7" t="s">
        <v>367</v>
      </c>
      <c r="C10" s="7"/>
      <c r="D10" s="7" t="s">
        <v>45</v>
      </c>
      <c r="E10" s="83" t="s">
        <v>223</v>
      </c>
      <c r="F10" s="7" t="s">
        <v>2241</v>
      </c>
      <c r="G10" s="7" t="s">
        <v>367</v>
      </c>
      <c r="H10" s="7"/>
      <c r="I10" s="7" t="s">
        <v>74</v>
      </c>
      <c r="J10" s="7"/>
      <c r="K10" s="7"/>
      <c r="L10" s="7"/>
      <c r="M10" s="7" t="s">
        <v>368</v>
      </c>
      <c r="N10" s="46"/>
      <c r="O10" s="7"/>
      <c r="P10" s="46"/>
    </row>
    <row r="11" spans="1:16" ht="14.45">
      <c r="A11" s="8" t="s">
        <v>350</v>
      </c>
      <c r="B11" s="8"/>
      <c r="C11" s="8"/>
      <c r="D11" s="8" t="s">
        <v>320</v>
      </c>
      <c r="E11" s="8"/>
      <c r="F11" s="8"/>
      <c r="G11" s="8" t="s">
        <v>351</v>
      </c>
      <c r="H11" s="8">
        <v>100</v>
      </c>
      <c r="I11" s="8" t="s">
        <v>98</v>
      </c>
      <c r="J11" s="8"/>
      <c r="K11" s="8"/>
      <c r="L11" s="8"/>
      <c r="M11" s="8" t="s">
        <v>327</v>
      </c>
      <c r="N11" s="46"/>
      <c r="O11" s="7"/>
      <c r="P11" s="46">
        <v>8</v>
      </c>
    </row>
    <row r="12" spans="1:16" ht="14.45">
      <c r="A12" s="8" t="s">
        <v>354</v>
      </c>
      <c r="B12" s="8"/>
      <c r="C12" s="8"/>
      <c r="D12" s="8" t="s">
        <v>320</v>
      </c>
      <c r="E12" s="8"/>
      <c r="F12" s="8"/>
      <c r="G12" s="8" t="s">
        <v>351</v>
      </c>
      <c r="H12" s="8">
        <v>100</v>
      </c>
      <c r="I12" s="8" t="s">
        <v>98</v>
      </c>
      <c r="J12" s="8"/>
      <c r="K12" s="8"/>
      <c r="L12" s="8"/>
      <c r="M12" s="8" t="s">
        <v>327</v>
      </c>
      <c r="N12" s="46"/>
      <c r="O12" s="7"/>
      <c r="P12" s="46">
        <v>9</v>
      </c>
    </row>
    <row r="13" spans="1:16" ht="14.45">
      <c r="A13" s="8" t="s">
        <v>357</v>
      </c>
      <c r="B13" s="8"/>
      <c r="C13" s="8"/>
      <c r="D13" s="8" t="s">
        <v>320</v>
      </c>
      <c r="E13" s="8"/>
      <c r="F13" s="8"/>
      <c r="G13" s="8" t="s">
        <v>351</v>
      </c>
      <c r="H13" s="8">
        <v>100</v>
      </c>
      <c r="I13" s="8" t="s">
        <v>98</v>
      </c>
      <c r="J13" s="8"/>
      <c r="K13" s="8"/>
      <c r="L13" s="8"/>
      <c r="M13" s="8" t="s">
        <v>327</v>
      </c>
      <c r="N13" s="46"/>
      <c r="O13" s="7"/>
      <c r="P13" s="46">
        <v>10</v>
      </c>
    </row>
    <row r="14" spans="1:16" ht="14.45">
      <c r="A14" s="8" t="s">
        <v>360</v>
      </c>
      <c r="B14" s="8"/>
      <c r="C14" s="8"/>
      <c r="D14" s="8" t="s">
        <v>320</v>
      </c>
      <c r="E14" s="8"/>
      <c r="F14" s="8"/>
      <c r="G14" s="8" t="s">
        <v>351</v>
      </c>
      <c r="H14" s="8">
        <v>100</v>
      </c>
      <c r="I14" s="8" t="s">
        <v>98</v>
      </c>
      <c r="J14" s="8"/>
      <c r="K14" s="8"/>
      <c r="L14" s="8"/>
      <c r="M14" s="8" t="s">
        <v>327</v>
      </c>
      <c r="N14" s="46"/>
      <c r="O14" s="7"/>
      <c r="P14" s="46">
        <v>11</v>
      </c>
    </row>
    <row r="15" spans="1:16" ht="14.45">
      <c r="A15" s="8" t="s">
        <v>363</v>
      </c>
      <c r="B15" s="8"/>
      <c r="C15" s="8"/>
      <c r="D15" s="8" t="s">
        <v>320</v>
      </c>
      <c r="E15" s="8"/>
      <c r="F15" s="8"/>
      <c r="G15" s="8" t="s">
        <v>351</v>
      </c>
      <c r="H15" s="8">
        <v>100</v>
      </c>
      <c r="I15" s="8" t="s">
        <v>98</v>
      </c>
      <c r="J15" s="8"/>
      <c r="K15" s="8"/>
      <c r="L15" s="8"/>
      <c r="M15" s="8" t="s">
        <v>327</v>
      </c>
      <c r="N15" s="46"/>
      <c r="O15" s="7"/>
      <c r="P15" s="46">
        <v>12</v>
      </c>
    </row>
    <row r="16" spans="1:16" ht="14.45">
      <c r="A16" s="8" t="s">
        <v>366</v>
      </c>
      <c r="B16" s="8"/>
      <c r="C16" s="8"/>
      <c r="D16" s="8" t="s">
        <v>320</v>
      </c>
      <c r="E16" s="8"/>
      <c r="F16" s="8"/>
      <c r="G16" s="8" t="s">
        <v>367</v>
      </c>
      <c r="H16" s="8"/>
      <c r="I16" s="8" t="s">
        <v>98</v>
      </c>
      <c r="J16" s="8"/>
      <c r="K16" s="8"/>
      <c r="L16" s="8"/>
      <c r="M16" s="8" t="s">
        <v>368</v>
      </c>
      <c r="N16" s="46"/>
      <c r="O16" s="7"/>
      <c r="P16" s="46">
        <v>13</v>
      </c>
    </row>
    <row r="17" spans="1:16" ht="14.45">
      <c r="A17" s="8" t="s">
        <v>371</v>
      </c>
      <c r="B17" s="8"/>
      <c r="C17" s="8"/>
      <c r="D17" s="8" t="s">
        <v>320</v>
      </c>
      <c r="E17" s="8"/>
      <c r="F17" s="8"/>
      <c r="G17" s="8" t="s">
        <v>367</v>
      </c>
      <c r="H17" s="8"/>
      <c r="I17" s="8" t="s">
        <v>98</v>
      </c>
      <c r="J17" s="8"/>
      <c r="K17" s="8"/>
      <c r="L17" s="8"/>
      <c r="M17" s="8" t="s">
        <v>368</v>
      </c>
      <c r="N17" s="46"/>
      <c r="O17" s="7"/>
      <c r="P17" s="46">
        <v>14</v>
      </c>
    </row>
    <row r="18" spans="1:16" ht="14.45">
      <c r="A18" s="8" t="s">
        <v>374</v>
      </c>
      <c r="B18" s="8"/>
      <c r="C18" s="8"/>
      <c r="D18" s="8" t="s">
        <v>320</v>
      </c>
      <c r="E18" s="8"/>
      <c r="F18" s="8"/>
      <c r="G18" s="8" t="s">
        <v>351</v>
      </c>
      <c r="H18" s="8">
        <v>100</v>
      </c>
      <c r="I18" s="8" t="s">
        <v>98</v>
      </c>
      <c r="J18" s="8"/>
      <c r="K18" s="8"/>
      <c r="L18" s="8"/>
      <c r="M18" s="8" t="s">
        <v>327</v>
      </c>
      <c r="N18" s="46"/>
      <c r="O18" s="7"/>
      <c r="P18" s="46">
        <v>15</v>
      </c>
    </row>
    <row r="21" spans="1:16" ht="14.45">
      <c r="A21" s="21" t="s">
        <v>1032</v>
      </c>
      <c r="B21" s="21"/>
      <c r="C21" s="21"/>
    </row>
    <row r="22" spans="1:16" ht="14.45">
      <c r="A22" t="s">
        <v>3006</v>
      </c>
    </row>
    <row r="23" spans="1:16" ht="14.45">
      <c r="A23" s="35" t="s">
        <v>3007</v>
      </c>
      <c r="B23" s="35"/>
      <c r="C23" s="35"/>
    </row>
    <row r="24" spans="1:16" ht="14.45">
      <c r="A24" t="s">
        <v>3008</v>
      </c>
    </row>
    <row r="26" spans="1:16" ht="14.45">
      <c r="A26" s="21" t="s">
        <v>1698</v>
      </c>
      <c r="B26" s="21"/>
      <c r="C26" s="21"/>
    </row>
    <row r="27" spans="1:16" ht="14.45">
      <c r="A27" t="s">
        <v>3009</v>
      </c>
    </row>
    <row r="28" spans="1:16" ht="14.45">
      <c r="A28" s="35" t="s">
        <v>3010</v>
      </c>
      <c r="B28" s="35"/>
      <c r="C28" s="35"/>
    </row>
    <row r="29" spans="1:16" ht="14.45">
      <c r="A29" s="36" t="s">
        <v>2902</v>
      </c>
      <c r="B29" s="36"/>
      <c r="C29" s="36"/>
    </row>
  </sheetData>
  <hyperlinks>
    <hyperlink ref="A29" location="'Matters to Migrate'!A1" display="See Matters to Migrate sheet" xr:uid="{E8AD1DBA-81CF-4383-A290-BB825BB97889}"/>
  </hyperlinks>
  <pageMargins left="0.7" right="0.7" top="0.75" bottom="0.75" header="0.3" footer="0.3"/>
  <pageSetup paperSize="9"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rgb="FF00B0F0"/>
  </sheetPr>
  <dimension ref="A1:R36"/>
  <sheetViews>
    <sheetView workbookViewId="0">
      <pane xSplit="1" ySplit="2" topLeftCell="B3" activePane="bottomRight" state="frozen"/>
      <selection pane="bottomRight" activeCell="C2" sqref="C2"/>
      <selection pane="bottomLeft" activeCell="A3" sqref="A3"/>
      <selection pane="topRight" activeCell="B1" sqref="B1"/>
    </sheetView>
  </sheetViews>
  <sheetFormatPr defaultRowHeight="15" customHeight="1"/>
  <cols>
    <col min="1" max="1" width="32.5703125" customWidth="1"/>
    <col min="2" max="2" width="16.42578125" customWidth="1"/>
    <col min="3" max="3" width="17.28515625" customWidth="1"/>
    <col min="4" max="4" width="20.7109375" customWidth="1"/>
    <col min="5" max="5" width="28.5703125" customWidth="1"/>
    <col min="6" max="6" width="20.7109375" customWidth="1"/>
    <col min="7" max="9" width="15.7109375" customWidth="1"/>
    <col min="10" max="11" width="20.7109375" customWidth="1"/>
    <col min="12" max="12" width="61.5703125" customWidth="1"/>
    <col min="13" max="13" width="20.7109375" customWidth="1"/>
    <col min="14" max="14" width="15.7109375" bestFit="1" customWidth="1"/>
    <col min="15" max="15" width="39.28515625" customWidth="1"/>
    <col min="16" max="16" width="17.28515625" bestFit="1" customWidth="1"/>
    <col min="17" max="17" width="37.85546875" bestFit="1" customWidth="1"/>
    <col min="18" max="18" width="49.28515625" bestFit="1" customWidth="1"/>
  </cols>
  <sheetData>
    <row r="1" spans="1:18" ht="60" customHeight="1">
      <c r="A1" s="1" t="s">
        <v>261</v>
      </c>
      <c r="B1" s="1"/>
      <c r="C1" s="1"/>
      <c r="F1" s="2" t="s">
        <v>297</v>
      </c>
      <c r="K1" s="3" t="s">
        <v>298</v>
      </c>
      <c r="L1" s="4" t="s">
        <v>299</v>
      </c>
      <c r="M1" s="19" t="s">
        <v>300</v>
      </c>
      <c r="N1" s="23" t="s">
        <v>301</v>
      </c>
    </row>
    <row r="2" spans="1:18" ht="14.45">
      <c r="A2" s="5" t="s">
        <v>302</v>
      </c>
      <c r="B2" s="5" t="s">
        <v>303</v>
      </c>
      <c r="C2" s="5" t="s">
        <v>3011</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3012</v>
      </c>
      <c r="B3" s="6" t="s">
        <v>319</v>
      </c>
      <c r="C3" s="6"/>
      <c r="D3" s="6" t="s">
        <v>320</v>
      </c>
      <c r="E3" s="6"/>
      <c r="F3" s="6"/>
      <c r="G3" s="6" t="s">
        <v>319</v>
      </c>
      <c r="H3" s="6"/>
      <c r="I3" s="6" t="s">
        <v>98</v>
      </c>
      <c r="J3" s="6" t="s">
        <v>321</v>
      </c>
      <c r="K3" s="6"/>
      <c r="L3" s="6"/>
      <c r="M3" s="6">
        <v>-1</v>
      </c>
      <c r="N3" s="46"/>
      <c r="O3" s="7"/>
      <c r="P3" s="46">
        <v>1</v>
      </c>
      <c r="Q3" s="88" t="s">
        <v>3013</v>
      </c>
      <c r="R3" t="s">
        <v>3014</v>
      </c>
    </row>
    <row r="4" spans="1:18" ht="14.45">
      <c r="A4" s="9" t="s">
        <v>3015</v>
      </c>
      <c r="B4" s="9" t="s">
        <v>351</v>
      </c>
      <c r="C4" s="9">
        <v>20</v>
      </c>
      <c r="D4" s="9" t="s">
        <v>12</v>
      </c>
      <c r="E4" s="9" t="s">
        <v>2432</v>
      </c>
      <c r="F4" s="9" t="s">
        <v>2434</v>
      </c>
      <c r="G4" s="9" t="s">
        <v>351</v>
      </c>
      <c r="H4" s="9">
        <v>20</v>
      </c>
      <c r="I4" s="9" t="s">
        <v>98</v>
      </c>
      <c r="J4" s="9" t="s">
        <v>3016</v>
      </c>
      <c r="K4" s="9"/>
      <c r="L4" s="9"/>
      <c r="M4" s="9">
        <v>-1</v>
      </c>
      <c r="N4" s="46"/>
      <c r="O4" s="7" t="s">
        <v>3017</v>
      </c>
      <c r="P4" s="46">
        <v>2</v>
      </c>
      <c r="Q4" s="88" t="s">
        <v>3018</v>
      </c>
      <c r="R4" t="s">
        <v>3019</v>
      </c>
    </row>
    <row r="5" spans="1:18" ht="14.45">
      <c r="A5" s="9" t="s">
        <v>3020</v>
      </c>
      <c r="B5" s="9" t="s">
        <v>325</v>
      </c>
      <c r="C5" s="9">
        <v>10</v>
      </c>
      <c r="D5" s="9" t="s">
        <v>12</v>
      </c>
      <c r="E5" s="9" t="s">
        <v>2432</v>
      </c>
      <c r="F5" s="9" t="s">
        <v>2155</v>
      </c>
      <c r="G5" s="9" t="s">
        <v>325</v>
      </c>
      <c r="H5" s="9">
        <v>10</v>
      </c>
      <c r="I5" s="9" t="s">
        <v>98</v>
      </c>
      <c r="J5" s="9" t="s">
        <v>3016</v>
      </c>
      <c r="K5" s="9"/>
      <c r="L5" s="9"/>
      <c r="M5" s="9">
        <v>-1</v>
      </c>
      <c r="N5" s="46"/>
      <c r="O5" s="7"/>
      <c r="P5" s="46">
        <v>3</v>
      </c>
      <c r="Q5" t="s">
        <v>3021</v>
      </c>
      <c r="R5" t="s">
        <v>3022</v>
      </c>
    </row>
    <row r="6" spans="1:18" ht="14.45">
      <c r="A6" s="9" t="s">
        <v>3023</v>
      </c>
      <c r="B6" s="9" t="s">
        <v>351</v>
      </c>
      <c r="C6" s="9">
        <v>20</v>
      </c>
      <c r="D6" s="9" t="s">
        <v>12</v>
      </c>
      <c r="E6" s="9" t="s">
        <v>2432</v>
      </c>
      <c r="F6" s="9" t="s">
        <v>2434</v>
      </c>
      <c r="G6" s="9" t="s">
        <v>351</v>
      </c>
      <c r="H6" s="9">
        <v>20</v>
      </c>
      <c r="I6" s="9" t="s">
        <v>98</v>
      </c>
      <c r="J6" s="9" t="s">
        <v>3024</v>
      </c>
      <c r="K6" s="9"/>
      <c r="L6" s="9"/>
      <c r="M6" s="9">
        <v>-1</v>
      </c>
      <c r="N6" s="46"/>
      <c r="O6" s="7"/>
      <c r="P6" s="46">
        <v>4</v>
      </c>
      <c r="Q6" s="88" t="s">
        <v>3025</v>
      </c>
      <c r="R6" t="s">
        <v>3026</v>
      </c>
    </row>
    <row r="7" spans="1:18" ht="14.45">
      <c r="A7" s="95" t="s">
        <v>3027</v>
      </c>
      <c r="B7" s="95" t="s">
        <v>325</v>
      </c>
      <c r="C7" s="95">
        <v>10</v>
      </c>
      <c r="D7" s="9" t="s">
        <v>12</v>
      </c>
      <c r="E7" s="9" t="s">
        <v>2432</v>
      </c>
      <c r="F7" s="9" t="s">
        <v>2155</v>
      </c>
      <c r="G7" s="9" t="s">
        <v>325</v>
      </c>
      <c r="H7" s="9">
        <v>10</v>
      </c>
      <c r="I7" s="9" t="s">
        <v>98</v>
      </c>
      <c r="J7" s="9" t="s">
        <v>3024</v>
      </c>
      <c r="K7" s="9"/>
      <c r="L7" s="9"/>
      <c r="M7" s="9">
        <v>-1</v>
      </c>
      <c r="N7" s="46"/>
      <c r="O7" s="7"/>
      <c r="P7" s="46">
        <v>5</v>
      </c>
      <c r="Q7" s="88" t="s">
        <v>3028</v>
      </c>
      <c r="R7" t="s">
        <v>3029</v>
      </c>
    </row>
    <row r="8" spans="1:18" ht="14.45">
      <c r="A8" s="22" t="s">
        <v>3030</v>
      </c>
      <c r="B8" s="22"/>
      <c r="C8" s="22"/>
      <c r="D8" s="22" t="s">
        <v>60</v>
      </c>
      <c r="E8" s="22" t="s">
        <v>247</v>
      </c>
      <c r="F8" s="22" t="s">
        <v>1292</v>
      </c>
      <c r="G8" s="22" t="s">
        <v>319</v>
      </c>
      <c r="H8" s="22"/>
      <c r="I8" s="22" t="s">
        <v>74</v>
      </c>
      <c r="J8" s="22" t="s">
        <v>3031</v>
      </c>
      <c r="K8" s="22"/>
      <c r="L8" s="22"/>
      <c r="M8" s="22">
        <v>-1</v>
      </c>
      <c r="N8" s="46"/>
      <c r="O8" s="7"/>
      <c r="P8" s="46">
        <v>6</v>
      </c>
      <c r="Q8" s="76" t="s">
        <v>3032</v>
      </c>
      <c r="R8" t="s">
        <v>3033</v>
      </c>
    </row>
    <row r="9" spans="1:18" ht="14.45">
      <c r="A9" s="22" t="s">
        <v>3034</v>
      </c>
      <c r="B9" s="22"/>
      <c r="C9" s="22"/>
      <c r="D9" s="22" t="s">
        <v>60</v>
      </c>
      <c r="E9" s="22" t="s">
        <v>247</v>
      </c>
      <c r="F9" s="22" t="s">
        <v>1292</v>
      </c>
      <c r="G9" s="22" t="s">
        <v>319</v>
      </c>
      <c r="H9" s="22"/>
      <c r="I9" s="22" t="s">
        <v>74</v>
      </c>
      <c r="J9" s="22" t="s">
        <v>3031</v>
      </c>
      <c r="K9" s="22"/>
      <c r="L9" s="22"/>
      <c r="M9" s="22">
        <v>-1</v>
      </c>
      <c r="N9" s="46"/>
      <c r="O9" s="7" t="s">
        <v>3017</v>
      </c>
      <c r="P9" s="46">
        <v>7</v>
      </c>
      <c r="Q9" s="76" t="s">
        <v>3035</v>
      </c>
      <c r="R9" t="s">
        <v>3036</v>
      </c>
    </row>
    <row r="10" spans="1:18" ht="72.599999999999994">
      <c r="A10" s="7" t="s">
        <v>3037</v>
      </c>
      <c r="B10" s="7" t="s">
        <v>351</v>
      </c>
      <c r="C10" s="7">
        <v>100</v>
      </c>
      <c r="D10" s="7" t="s">
        <v>12</v>
      </c>
      <c r="E10" s="74" t="s">
        <v>276</v>
      </c>
      <c r="F10" s="7" t="s">
        <v>3038</v>
      </c>
      <c r="G10" s="7" t="s">
        <v>351</v>
      </c>
      <c r="H10" s="7">
        <v>100</v>
      </c>
      <c r="I10" s="7" t="s">
        <v>98</v>
      </c>
      <c r="J10" s="7"/>
      <c r="K10" s="7"/>
      <c r="L10" s="7"/>
      <c r="M10" s="7"/>
      <c r="N10" s="46"/>
      <c r="O10" s="50" t="s">
        <v>3039</v>
      </c>
      <c r="P10" s="46">
        <v>8</v>
      </c>
      <c r="Q10" s="76" t="s">
        <v>3040</v>
      </c>
      <c r="R10" t="s">
        <v>3041</v>
      </c>
    </row>
    <row r="11" spans="1:18" ht="14.45">
      <c r="A11" s="7" t="s">
        <v>3042</v>
      </c>
      <c r="B11" s="7" t="s">
        <v>346</v>
      </c>
      <c r="C11" s="7"/>
      <c r="D11" s="7" t="s">
        <v>12</v>
      </c>
      <c r="E11" s="7" t="s">
        <v>262</v>
      </c>
      <c r="F11" s="7" t="s">
        <v>3043</v>
      </c>
      <c r="G11" s="7" t="s">
        <v>346</v>
      </c>
      <c r="H11" s="7"/>
      <c r="I11" s="7" t="s">
        <v>98</v>
      </c>
      <c r="J11" s="7"/>
      <c r="K11" s="7"/>
      <c r="L11" s="7"/>
      <c r="M11" s="7" t="s">
        <v>327</v>
      </c>
      <c r="N11" s="46"/>
      <c r="O11" s="7"/>
      <c r="P11" s="46">
        <v>9</v>
      </c>
      <c r="Q11" s="76" t="s">
        <v>3044</v>
      </c>
      <c r="R11" t="s">
        <v>3045</v>
      </c>
    </row>
    <row r="12" spans="1:18" ht="14.45">
      <c r="A12" s="7" t="s">
        <v>345</v>
      </c>
      <c r="B12" s="7" t="s">
        <v>346</v>
      </c>
      <c r="C12" s="7"/>
      <c r="D12" s="7" t="s">
        <v>12</v>
      </c>
      <c r="E12" s="7" t="s">
        <v>262</v>
      </c>
      <c r="F12" s="7" t="s">
        <v>347</v>
      </c>
      <c r="G12" s="7" t="s">
        <v>346</v>
      </c>
      <c r="H12" s="7"/>
      <c r="I12" s="7" t="s">
        <v>98</v>
      </c>
      <c r="J12" s="7"/>
      <c r="K12" s="7"/>
      <c r="L12" s="7"/>
      <c r="M12" s="7">
        <v>-1</v>
      </c>
      <c r="N12" s="46"/>
      <c r="O12" s="7"/>
      <c r="P12" s="46">
        <v>10</v>
      </c>
      <c r="Q12" s="76" t="s">
        <v>3046</v>
      </c>
      <c r="R12" t="s">
        <v>3047</v>
      </c>
    </row>
    <row r="13" spans="1:18" ht="14.45">
      <c r="A13" s="7" t="s">
        <v>1590</v>
      </c>
      <c r="B13" s="7" t="s">
        <v>367</v>
      </c>
      <c r="C13" s="7"/>
      <c r="D13" s="7" t="s">
        <v>12</v>
      </c>
      <c r="E13" s="7" t="s">
        <v>262</v>
      </c>
      <c r="F13" s="7" t="s">
        <v>2204</v>
      </c>
      <c r="G13" s="7" t="s">
        <v>367</v>
      </c>
      <c r="H13" s="7"/>
      <c r="I13" s="7" t="s">
        <v>98</v>
      </c>
      <c r="J13" s="7"/>
      <c r="K13" s="7"/>
      <c r="L13" s="7"/>
      <c r="M13" s="7" t="s">
        <v>368</v>
      </c>
      <c r="N13" s="46"/>
      <c r="O13" s="7" t="s">
        <v>2661</v>
      </c>
      <c r="P13" s="46">
        <v>11</v>
      </c>
      <c r="Q13" s="76" t="s">
        <v>3048</v>
      </c>
      <c r="R13" t="s">
        <v>3049</v>
      </c>
    </row>
    <row r="14" spans="1:18" ht="14.45">
      <c r="A14" s="8" t="s">
        <v>350</v>
      </c>
      <c r="B14" s="8"/>
      <c r="C14" s="8"/>
      <c r="D14" s="8" t="s">
        <v>320</v>
      </c>
      <c r="E14" s="8"/>
      <c r="F14" s="8"/>
      <c r="G14" s="8" t="s">
        <v>351</v>
      </c>
      <c r="H14" s="8">
        <v>100</v>
      </c>
      <c r="I14" s="8" t="s">
        <v>98</v>
      </c>
      <c r="J14" s="8"/>
      <c r="K14" s="8"/>
      <c r="L14" s="8"/>
      <c r="M14" s="8" t="s">
        <v>327</v>
      </c>
      <c r="N14" s="46"/>
      <c r="O14" s="7"/>
      <c r="P14" s="46">
        <v>12</v>
      </c>
      <c r="Q14" s="88" t="s">
        <v>3050</v>
      </c>
      <c r="R14" t="s">
        <v>3051</v>
      </c>
    </row>
    <row r="15" spans="1:18" ht="14.45">
      <c r="A15" s="8" t="s">
        <v>354</v>
      </c>
      <c r="B15" s="8"/>
      <c r="C15" s="8"/>
      <c r="D15" s="8" t="s">
        <v>320</v>
      </c>
      <c r="E15" s="8"/>
      <c r="F15" s="8"/>
      <c r="G15" s="8" t="s">
        <v>351</v>
      </c>
      <c r="H15" s="8">
        <v>100</v>
      </c>
      <c r="I15" s="8" t="s">
        <v>98</v>
      </c>
      <c r="J15" s="8"/>
      <c r="K15" s="8"/>
      <c r="L15" s="8"/>
      <c r="M15" s="8" t="s">
        <v>327</v>
      </c>
      <c r="N15" s="46"/>
      <c r="O15" s="7"/>
      <c r="P15" s="46">
        <v>13</v>
      </c>
      <c r="Q15" s="88" t="s">
        <v>3052</v>
      </c>
      <c r="R15" t="s">
        <v>3053</v>
      </c>
    </row>
    <row r="16" spans="1:18" ht="14.45">
      <c r="A16" s="8" t="s">
        <v>357</v>
      </c>
      <c r="B16" s="8"/>
      <c r="C16" s="8"/>
      <c r="D16" s="8" t="s">
        <v>320</v>
      </c>
      <c r="E16" s="8"/>
      <c r="F16" s="8"/>
      <c r="G16" s="8" t="s">
        <v>351</v>
      </c>
      <c r="H16" s="8">
        <v>100</v>
      </c>
      <c r="I16" s="8" t="s">
        <v>98</v>
      </c>
      <c r="J16" s="8"/>
      <c r="K16" s="8"/>
      <c r="L16" s="8"/>
      <c r="M16" s="8" t="s">
        <v>327</v>
      </c>
      <c r="N16" s="46"/>
      <c r="O16" s="7"/>
      <c r="P16" s="46">
        <v>14</v>
      </c>
      <c r="Q16" s="88" t="s">
        <v>3054</v>
      </c>
      <c r="R16" t="s">
        <v>3055</v>
      </c>
    </row>
    <row r="17" spans="1:18" ht="14.45">
      <c r="A17" s="8" t="s">
        <v>360</v>
      </c>
      <c r="B17" s="8"/>
      <c r="C17" s="8"/>
      <c r="D17" s="8" t="s">
        <v>320</v>
      </c>
      <c r="E17" s="8"/>
      <c r="F17" s="8"/>
      <c r="G17" s="8" t="s">
        <v>351</v>
      </c>
      <c r="H17" s="8">
        <v>100</v>
      </c>
      <c r="I17" s="8" t="s">
        <v>98</v>
      </c>
      <c r="J17" s="8"/>
      <c r="K17" s="8"/>
      <c r="L17" s="8"/>
      <c r="M17" s="8" t="s">
        <v>327</v>
      </c>
      <c r="N17" s="46"/>
      <c r="O17" s="7"/>
      <c r="P17" s="46">
        <v>15</v>
      </c>
      <c r="Q17" s="88" t="s">
        <v>3056</v>
      </c>
      <c r="R17" t="s">
        <v>3057</v>
      </c>
    </row>
    <row r="18" spans="1:18" ht="14.45">
      <c r="A18" s="8" t="s">
        <v>363</v>
      </c>
      <c r="B18" s="8"/>
      <c r="C18" s="8"/>
      <c r="D18" s="8" t="s">
        <v>320</v>
      </c>
      <c r="E18" s="8"/>
      <c r="F18" s="8"/>
      <c r="G18" s="8" t="s">
        <v>351</v>
      </c>
      <c r="H18" s="8">
        <v>100</v>
      </c>
      <c r="I18" s="8" t="s">
        <v>98</v>
      </c>
      <c r="J18" s="8"/>
      <c r="K18" s="8"/>
      <c r="L18" s="8"/>
      <c r="M18" s="8" t="s">
        <v>327</v>
      </c>
      <c r="N18" s="46"/>
      <c r="O18" s="7"/>
      <c r="P18" s="46">
        <v>16</v>
      </c>
      <c r="Q18" s="88" t="s">
        <v>3058</v>
      </c>
      <c r="R18" t="s">
        <v>3059</v>
      </c>
    </row>
    <row r="19" spans="1:18" ht="14.45">
      <c r="A19" s="8" t="s">
        <v>366</v>
      </c>
      <c r="B19" s="8"/>
      <c r="C19" s="8"/>
      <c r="D19" s="8" t="s">
        <v>320</v>
      </c>
      <c r="E19" s="8"/>
      <c r="F19" s="8"/>
      <c r="G19" s="8" t="s">
        <v>367</v>
      </c>
      <c r="H19" s="8"/>
      <c r="I19" s="8" t="s">
        <v>98</v>
      </c>
      <c r="J19" s="8"/>
      <c r="K19" s="8"/>
      <c r="L19" s="8"/>
      <c r="M19" s="8" t="s">
        <v>368</v>
      </c>
      <c r="N19" s="46"/>
      <c r="O19" s="7"/>
      <c r="P19" s="46">
        <v>17</v>
      </c>
      <c r="Q19" s="88" t="s">
        <v>3060</v>
      </c>
      <c r="R19" t="s">
        <v>3061</v>
      </c>
    </row>
    <row r="20" spans="1:18" ht="14.45">
      <c r="A20" s="8" t="s">
        <v>371</v>
      </c>
      <c r="B20" s="8"/>
      <c r="C20" s="8"/>
      <c r="D20" s="8" t="s">
        <v>320</v>
      </c>
      <c r="E20" s="8"/>
      <c r="F20" s="8"/>
      <c r="G20" s="8" t="s">
        <v>367</v>
      </c>
      <c r="H20" s="8"/>
      <c r="I20" s="8" t="s">
        <v>98</v>
      </c>
      <c r="J20" s="8"/>
      <c r="K20" s="8"/>
      <c r="L20" s="8"/>
      <c r="M20" s="8" t="s">
        <v>368</v>
      </c>
      <c r="N20" s="46"/>
      <c r="O20" s="7"/>
      <c r="P20" s="46">
        <v>18</v>
      </c>
      <c r="Q20" s="88" t="s">
        <v>3062</v>
      </c>
      <c r="R20" t="s">
        <v>3063</v>
      </c>
    </row>
    <row r="21" spans="1:18" ht="14.45">
      <c r="A21" s="8" t="s">
        <v>374</v>
      </c>
      <c r="B21" s="8"/>
      <c r="C21" s="8"/>
      <c r="D21" s="8" t="s">
        <v>320</v>
      </c>
      <c r="E21" s="8"/>
      <c r="F21" s="8"/>
      <c r="G21" s="8" t="s">
        <v>351</v>
      </c>
      <c r="H21" s="8">
        <v>100</v>
      </c>
      <c r="I21" s="8" t="s">
        <v>98</v>
      </c>
      <c r="J21" s="8"/>
      <c r="K21" s="8"/>
      <c r="L21" s="8"/>
      <c r="M21" s="8" t="s">
        <v>327</v>
      </c>
      <c r="N21" s="46"/>
      <c r="O21" s="7"/>
      <c r="P21" s="46">
        <v>19</v>
      </c>
      <c r="Q21" s="88" t="s">
        <v>3064</v>
      </c>
      <c r="R21" t="s">
        <v>3065</v>
      </c>
    </row>
    <row r="23" spans="1:18" ht="14.45">
      <c r="A23" s="40" t="s">
        <v>3066</v>
      </c>
      <c r="B23" s="40"/>
      <c r="C23" s="40"/>
    </row>
    <row r="25" spans="1:18" ht="14.45">
      <c r="A25" s="21" t="s">
        <v>1032</v>
      </c>
      <c r="B25" s="21"/>
      <c r="C25" s="21"/>
    </row>
    <row r="26" spans="1:18" ht="14.45">
      <c r="A26" t="s">
        <v>3067</v>
      </c>
    </row>
    <row r="27" spans="1:18" ht="14.45">
      <c r="A27" t="s">
        <v>3068</v>
      </c>
    </row>
    <row r="28" spans="1:18" ht="14.45">
      <c r="A28" t="s">
        <v>3069</v>
      </c>
    </row>
    <row r="29" spans="1:18" ht="14.45">
      <c r="A29" t="s">
        <v>3070</v>
      </c>
    </row>
    <row r="30" spans="1:18" ht="14.45">
      <c r="A30" t="s">
        <v>3071</v>
      </c>
    </row>
    <row r="32" spans="1:18" ht="14.45">
      <c r="A32" s="21" t="s">
        <v>1698</v>
      </c>
      <c r="B32" s="21"/>
      <c r="C32" s="21"/>
    </row>
    <row r="33" spans="1:3" ht="14.45">
      <c r="A33" s="35" t="s">
        <v>3072</v>
      </c>
      <c r="B33" s="35"/>
      <c r="C33" s="35"/>
    </row>
    <row r="34" spans="1:3" ht="14.45">
      <c r="A34" s="36" t="s">
        <v>3073</v>
      </c>
      <c r="B34" s="36"/>
      <c r="C34" s="36"/>
    </row>
    <row r="35" spans="1:3" ht="14.45"/>
    <row r="36" spans="1:3" ht="15" customHeight="1">
      <c r="A36" s="88" t="s">
        <v>3074</v>
      </c>
      <c r="B36" s="88"/>
      <c r="C36" s="88"/>
    </row>
  </sheetData>
  <conditionalFormatting sqref="Q3:Q8">
    <cfRule type="duplicateValues" dxfId="20" priority="7"/>
  </conditionalFormatting>
  <conditionalFormatting sqref="Q10:Q21">
    <cfRule type="duplicateValues" dxfId="19" priority="6"/>
  </conditionalFormatting>
  <conditionalFormatting sqref="Q3:Q21">
    <cfRule type="duplicateValues" dxfId="18" priority="5"/>
  </conditionalFormatting>
  <conditionalFormatting sqref="Q3:Q21">
    <cfRule type="expression" dxfId="17" priority="1">
      <formula>$L3="Y"</formula>
    </cfRule>
    <cfRule type="expression" dxfId="16" priority="2">
      <formula>$J3="Foreign"</formula>
    </cfRule>
    <cfRule type="expression" dxfId="15" priority="3">
      <formula>$J3="Business"</formula>
    </cfRule>
    <cfRule type="expression" dxfId="14" priority="4">
      <formula>$J3="Primary"</formula>
    </cfRule>
  </conditionalFormatting>
  <hyperlinks>
    <hyperlink ref="A34" location="'Employees to Migrate'!A1" display="See Employees to Migrate sheet" xr:uid="{346638C0-A427-4BC0-8090-0C7BF051830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9D844-D776-458E-8E0B-625BE7272554}">
  <sheetPr codeName="Sheet45">
    <tabColor rgb="FF00B0F0"/>
  </sheetPr>
  <dimension ref="A1:P33"/>
  <sheetViews>
    <sheetView zoomScale="90" zoomScaleNormal="90" workbookViewId="0">
      <selection activeCell="C2" sqref="C2"/>
    </sheetView>
  </sheetViews>
  <sheetFormatPr defaultRowHeight="15" customHeight="1"/>
  <cols>
    <col min="1" max="1" width="36.140625" customWidth="1"/>
    <col min="2" max="2" width="17.5703125" customWidth="1"/>
    <col min="3" max="3" width="14.7109375" customWidth="1"/>
    <col min="4" max="4" width="20.7109375" customWidth="1"/>
    <col min="5" max="5" width="32.28515625" customWidth="1"/>
    <col min="6" max="6" width="34" customWidth="1"/>
    <col min="7" max="9" width="15.7109375" customWidth="1"/>
    <col min="10" max="10" width="47.7109375" customWidth="1"/>
    <col min="11" max="13" width="20.7109375" customWidth="1"/>
    <col min="14" max="14" width="15.42578125" bestFit="1" customWidth="1"/>
    <col min="15" max="15" width="39.28515625" customWidth="1"/>
    <col min="16" max="16" width="17.28515625" bestFit="1" customWidth="1"/>
  </cols>
  <sheetData>
    <row r="1" spans="1:16" ht="60" customHeight="1">
      <c r="A1" s="1" t="s">
        <v>225</v>
      </c>
      <c r="B1" s="1"/>
      <c r="C1" s="1"/>
      <c r="F1" s="2" t="s">
        <v>297</v>
      </c>
      <c r="K1" s="3" t="s">
        <v>298</v>
      </c>
      <c r="L1" s="4" t="s">
        <v>299</v>
      </c>
      <c r="M1" s="19" t="s">
        <v>300</v>
      </c>
      <c r="N1" s="23" t="s">
        <v>301</v>
      </c>
    </row>
    <row r="2" spans="1:16"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row>
    <row r="3" spans="1:16" ht="14.45">
      <c r="A3" s="6" t="s">
        <v>3075</v>
      </c>
      <c r="B3" s="6" t="s">
        <v>319</v>
      </c>
      <c r="C3" s="6"/>
      <c r="D3" s="6" t="s">
        <v>320</v>
      </c>
      <c r="E3" s="6"/>
      <c r="F3" s="6"/>
      <c r="G3" s="6" t="s">
        <v>319</v>
      </c>
      <c r="H3" s="6"/>
      <c r="I3" s="6" t="s">
        <v>98</v>
      </c>
      <c r="J3" s="6"/>
      <c r="K3" s="6"/>
      <c r="L3" s="6"/>
      <c r="M3" s="6">
        <v>-1</v>
      </c>
      <c r="N3" s="46"/>
      <c r="O3" s="7"/>
      <c r="P3" s="46">
        <v>1</v>
      </c>
    </row>
    <row r="4" spans="1:16" ht="14.45">
      <c r="A4" s="9" t="s">
        <v>1239</v>
      </c>
      <c r="B4" s="9" t="s">
        <v>351</v>
      </c>
      <c r="C4" s="9">
        <v>20</v>
      </c>
      <c r="D4" s="9" t="s">
        <v>12</v>
      </c>
      <c r="E4" s="9" t="s">
        <v>2622</v>
      </c>
      <c r="F4" s="9" t="s">
        <v>2623</v>
      </c>
      <c r="G4" s="9" t="s">
        <v>351</v>
      </c>
      <c r="H4" s="9">
        <v>20</v>
      </c>
      <c r="I4" s="9" t="s">
        <v>98</v>
      </c>
      <c r="J4" s="9"/>
      <c r="K4" s="9"/>
      <c r="L4" s="9"/>
      <c r="M4" s="9"/>
      <c r="N4" s="46"/>
      <c r="O4" s="7"/>
      <c r="P4" s="46">
        <v>3</v>
      </c>
    </row>
    <row r="5" spans="1:16" ht="14.45">
      <c r="A5" s="9" t="s">
        <v>487</v>
      </c>
      <c r="B5" s="9" t="s">
        <v>325</v>
      </c>
      <c r="C5" s="9">
        <v>10</v>
      </c>
      <c r="D5" s="9" t="s">
        <v>12</v>
      </c>
      <c r="E5" s="9" t="s">
        <v>2622</v>
      </c>
      <c r="F5" s="9" t="s">
        <v>2155</v>
      </c>
      <c r="G5" s="9" t="s">
        <v>325</v>
      </c>
      <c r="H5" s="9">
        <v>10</v>
      </c>
      <c r="I5" s="9" t="s">
        <v>98</v>
      </c>
      <c r="J5" s="9"/>
      <c r="K5" s="9"/>
      <c r="L5" s="9"/>
      <c r="M5" s="9"/>
      <c r="N5" s="46"/>
      <c r="O5" s="7"/>
      <c r="P5" s="46"/>
    </row>
    <row r="6" spans="1:16" ht="14.45">
      <c r="A6" s="9" t="s">
        <v>3076</v>
      </c>
      <c r="B6" s="9" t="s">
        <v>351</v>
      </c>
      <c r="C6" s="9">
        <v>20</v>
      </c>
      <c r="D6" s="9" t="s">
        <v>12</v>
      </c>
      <c r="E6" s="9" t="s">
        <v>2622</v>
      </c>
      <c r="F6" s="9" t="s">
        <v>2623</v>
      </c>
      <c r="G6" s="9" t="s">
        <v>351</v>
      </c>
      <c r="H6" s="9">
        <v>20</v>
      </c>
      <c r="I6" s="9" t="s">
        <v>98</v>
      </c>
      <c r="J6" s="9" t="s">
        <v>3077</v>
      </c>
      <c r="K6" s="9"/>
      <c r="L6" s="9"/>
      <c r="M6" s="9"/>
      <c r="N6" s="46"/>
      <c r="O6" s="7"/>
      <c r="P6" s="46"/>
    </row>
    <row r="7" spans="1:16" ht="14.45">
      <c r="A7" s="9" t="s">
        <v>3078</v>
      </c>
      <c r="B7" s="9" t="s">
        <v>325</v>
      </c>
      <c r="C7" s="9">
        <v>10</v>
      </c>
      <c r="D7" s="9" t="s">
        <v>12</v>
      </c>
      <c r="E7" s="9" t="s">
        <v>2622</v>
      </c>
      <c r="F7" s="9" t="s">
        <v>2155</v>
      </c>
      <c r="G7" s="9" t="s">
        <v>351</v>
      </c>
      <c r="H7" s="9">
        <v>10</v>
      </c>
      <c r="I7" s="9" t="s">
        <v>98</v>
      </c>
      <c r="J7" s="9" t="s">
        <v>3077</v>
      </c>
      <c r="K7" s="9"/>
      <c r="L7" s="9"/>
      <c r="M7" s="9"/>
      <c r="N7" s="46"/>
      <c r="O7" s="7"/>
      <c r="P7" s="46"/>
    </row>
    <row r="8" spans="1:16" ht="14.45">
      <c r="A8" s="9" t="s">
        <v>3079</v>
      </c>
      <c r="B8" s="9" t="s">
        <v>351</v>
      </c>
      <c r="C8" s="9">
        <v>50</v>
      </c>
      <c r="D8" s="9"/>
      <c r="E8" s="9"/>
      <c r="F8" s="9"/>
      <c r="G8" s="9"/>
      <c r="H8" s="9"/>
      <c r="I8" s="9" t="s">
        <v>98</v>
      </c>
      <c r="J8" s="9" t="s">
        <v>3080</v>
      </c>
      <c r="K8" s="9"/>
      <c r="L8" s="9" t="s">
        <v>3081</v>
      </c>
      <c r="M8" s="9"/>
      <c r="N8" s="46"/>
      <c r="O8" s="7"/>
      <c r="P8" s="46"/>
    </row>
    <row r="9" spans="1:16" ht="14.45">
      <c r="A9" s="22" t="s">
        <v>1248</v>
      </c>
      <c r="B9" s="22" t="s">
        <v>319</v>
      </c>
      <c r="C9" s="22"/>
      <c r="D9" s="22" t="s">
        <v>60</v>
      </c>
      <c r="E9" s="22" t="s">
        <v>189</v>
      </c>
      <c r="F9" s="22" t="s">
        <v>1248</v>
      </c>
      <c r="G9" s="22" t="s">
        <v>319</v>
      </c>
      <c r="H9" s="22"/>
      <c r="I9" s="22" t="s">
        <v>74</v>
      </c>
      <c r="J9" s="22"/>
      <c r="K9" s="22"/>
      <c r="L9" s="22"/>
      <c r="M9" s="22">
        <v>-1</v>
      </c>
      <c r="N9" s="46"/>
      <c r="O9" s="7"/>
      <c r="P9" s="46"/>
    </row>
    <row r="10" spans="1:16" ht="14.45">
      <c r="A10" s="22" t="s">
        <v>3082</v>
      </c>
      <c r="B10" s="22" t="s">
        <v>319</v>
      </c>
      <c r="C10" s="22"/>
      <c r="D10" s="22" t="s">
        <v>60</v>
      </c>
      <c r="E10" s="22" t="s">
        <v>189</v>
      </c>
      <c r="F10" s="22" t="s">
        <v>1248</v>
      </c>
      <c r="G10" s="22" t="s">
        <v>319</v>
      </c>
      <c r="H10" s="22"/>
      <c r="I10" s="22" t="s">
        <v>74</v>
      </c>
      <c r="J10" s="22"/>
      <c r="K10" s="22"/>
      <c r="L10" s="22"/>
      <c r="M10" s="22">
        <v>-1</v>
      </c>
      <c r="N10" s="46"/>
      <c r="O10" s="7"/>
      <c r="P10" s="46">
        <v>5</v>
      </c>
    </row>
    <row r="11" spans="1:16" ht="14.45">
      <c r="A11" s="8" t="s">
        <v>350</v>
      </c>
      <c r="B11" s="8"/>
      <c r="C11" s="8"/>
      <c r="D11" s="8" t="s">
        <v>320</v>
      </c>
      <c r="E11" s="8"/>
      <c r="F11" s="8"/>
      <c r="G11" s="8" t="s">
        <v>351</v>
      </c>
      <c r="H11" s="8">
        <v>100</v>
      </c>
      <c r="I11" s="8" t="s">
        <v>98</v>
      </c>
      <c r="J11" s="8"/>
      <c r="K11" s="8"/>
      <c r="L11" s="8"/>
      <c r="M11" s="8" t="s">
        <v>327</v>
      </c>
      <c r="N11" s="46"/>
      <c r="O11" s="7"/>
      <c r="P11" s="46">
        <v>8</v>
      </c>
    </row>
    <row r="12" spans="1:16" ht="14.45">
      <c r="A12" s="8" t="s">
        <v>354</v>
      </c>
      <c r="B12" s="8"/>
      <c r="C12" s="8"/>
      <c r="D12" s="8" t="s">
        <v>320</v>
      </c>
      <c r="E12" s="8"/>
      <c r="F12" s="8"/>
      <c r="G12" s="8" t="s">
        <v>351</v>
      </c>
      <c r="H12" s="8">
        <v>100</v>
      </c>
      <c r="I12" s="8" t="s">
        <v>98</v>
      </c>
      <c r="J12" s="8"/>
      <c r="K12" s="8"/>
      <c r="L12" s="8"/>
      <c r="M12" s="8" t="s">
        <v>327</v>
      </c>
      <c r="N12" s="46"/>
      <c r="O12" s="7"/>
      <c r="P12" s="46">
        <v>9</v>
      </c>
    </row>
    <row r="13" spans="1:16" ht="14.45">
      <c r="A13" s="8" t="s">
        <v>357</v>
      </c>
      <c r="B13" s="8"/>
      <c r="C13" s="8"/>
      <c r="D13" s="8" t="s">
        <v>320</v>
      </c>
      <c r="E13" s="8"/>
      <c r="F13" s="8"/>
      <c r="G13" s="8" t="s">
        <v>351</v>
      </c>
      <c r="H13" s="8">
        <v>100</v>
      </c>
      <c r="I13" s="8" t="s">
        <v>98</v>
      </c>
      <c r="J13" s="8"/>
      <c r="K13" s="8"/>
      <c r="L13" s="8"/>
      <c r="M13" s="8" t="s">
        <v>327</v>
      </c>
      <c r="N13" s="46"/>
      <c r="O13" s="7"/>
      <c r="P13" s="46">
        <v>10</v>
      </c>
    </row>
    <row r="14" spans="1:16" ht="14.45">
      <c r="A14" s="8" t="s">
        <v>360</v>
      </c>
      <c r="B14" s="8"/>
      <c r="C14" s="8"/>
      <c r="D14" s="8" t="s">
        <v>320</v>
      </c>
      <c r="E14" s="8"/>
      <c r="F14" s="8"/>
      <c r="G14" s="8" t="s">
        <v>351</v>
      </c>
      <c r="H14" s="8">
        <v>100</v>
      </c>
      <c r="I14" s="8" t="s">
        <v>98</v>
      </c>
      <c r="J14" s="8"/>
      <c r="K14" s="8"/>
      <c r="L14" s="8"/>
      <c r="M14" s="8" t="s">
        <v>327</v>
      </c>
      <c r="N14" s="46"/>
      <c r="O14" s="7"/>
      <c r="P14" s="46">
        <v>11</v>
      </c>
    </row>
    <row r="15" spans="1:16" ht="14.45">
      <c r="A15" s="8" t="s">
        <v>363</v>
      </c>
      <c r="B15" s="8"/>
      <c r="C15" s="8"/>
      <c r="D15" s="8" t="s">
        <v>320</v>
      </c>
      <c r="E15" s="8"/>
      <c r="F15" s="8"/>
      <c r="G15" s="8" t="s">
        <v>351</v>
      </c>
      <c r="H15" s="8">
        <v>100</v>
      </c>
      <c r="I15" s="8" t="s">
        <v>98</v>
      </c>
      <c r="J15" s="8"/>
      <c r="K15" s="8"/>
      <c r="L15" s="8"/>
      <c r="M15" s="8" t="s">
        <v>327</v>
      </c>
      <c r="N15" s="46"/>
      <c r="O15" s="7"/>
      <c r="P15" s="46">
        <v>12</v>
      </c>
    </row>
    <row r="16" spans="1:16" ht="14.45">
      <c r="A16" s="8" t="s">
        <v>366</v>
      </c>
      <c r="B16" s="8"/>
      <c r="C16" s="8"/>
      <c r="D16" s="8" t="s">
        <v>320</v>
      </c>
      <c r="E16" s="8"/>
      <c r="F16" s="8"/>
      <c r="G16" s="8" t="s">
        <v>367</v>
      </c>
      <c r="H16" s="8"/>
      <c r="I16" s="8" t="s">
        <v>98</v>
      </c>
      <c r="J16" s="8"/>
      <c r="K16" s="8"/>
      <c r="L16" s="8"/>
      <c r="M16" s="8" t="s">
        <v>368</v>
      </c>
      <c r="N16" s="46"/>
      <c r="O16" s="7"/>
      <c r="P16" s="46">
        <v>13</v>
      </c>
    </row>
    <row r="17" spans="1:16" ht="14.45">
      <c r="A17" s="8" t="s">
        <v>371</v>
      </c>
      <c r="B17" s="8"/>
      <c r="C17" s="8"/>
      <c r="D17" s="8" t="s">
        <v>320</v>
      </c>
      <c r="E17" s="8"/>
      <c r="F17" s="8"/>
      <c r="G17" s="8" t="s">
        <v>367</v>
      </c>
      <c r="H17" s="8"/>
      <c r="I17" s="8" t="s">
        <v>98</v>
      </c>
      <c r="J17" s="8"/>
      <c r="K17" s="8"/>
      <c r="L17" s="8"/>
      <c r="M17" s="8" t="s">
        <v>368</v>
      </c>
      <c r="N17" s="46"/>
      <c r="O17" s="7"/>
      <c r="P17" s="46">
        <v>14</v>
      </c>
    </row>
    <row r="18" spans="1:16" ht="14.45">
      <c r="A18" s="8" t="s">
        <v>374</v>
      </c>
      <c r="B18" s="8"/>
      <c r="C18" s="8"/>
      <c r="D18" s="8" t="s">
        <v>320</v>
      </c>
      <c r="E18" s="8"/>
      <c r="F18" s="8"/>
      <c r="G18" s="8" t="s">
        <v>351</v>
      </c>
      <c r="H18" s="8">
        <v>100</v>
      </c>
      <c r="I18" s="8" t="s">
        <v>98</v>
      </c>
      <c r="J18" s="8"/>
      <c r="K18" s="8"/>
      <c r="L18" s="8"/>
      <c r="M18" s="8" t="s">
        <v>327</v>
      </c>
      <c r="N18" s="46"/>
      <c r="O18" s="7"/>
      <c r="P18" s="46">
        <v>15</v>
      </c>
    </row>
    <row r="21" spans="1:16" ht="14.45">
      <c r="A21" s="40" t="s">
        <v>3083</v>
      </c>
      <c r="B21" s="40"/>
      <c r="C21" s="40"/>
    </row>
    <row r="22" spans="1:16" ht="14.45">
      <c r="A22" s="40" t="s">
        <v>3084</v>
      </c>
      <c r="B22" s="40"/>
      <c r="C22" s="40"/>
    </row>
    <row r="23" spans="1:16" ht="14.45">
      <c r="A23" s="40" t="s">
        <v>3085</v>
      </c>
      <c r="B23" s="40"/>
      <c r="C23" s="40"/>
    </row>
    <row r="25" spans="1:16" ht="14.45">
      <c r="A25" s="21" t="s">
        <v>2223</v>
      </c>
      <c r="B25" s="21"/>
      <c r="C25" s="21"/>
    </row>
    <row r="26" spans="1:16" ht="14.45">
      <c r="A26" t="s">
        <v>3086</v>
      </c>
    </row>
    <row r="27" spans="1:16" ht="14.45">
      <c r="A27" t="s">
        <v>3087</v>
      </c>
    </row>
    <row r="28" spans="1:16" ht="14.45">
      <c r="A28" t="s">
        <v>3088</v>
      </c>
    </row>
    <row r="31" spans="1:16" ht="14.45">
      <c r="A31" s="21" t="s">
        <v>3089</v>
      </c>
      <c r="B31" s="21"/>
      <c r="C31" s="21"/>
    </row>
    <row r="32" spans="1:16" ht="14.45">
      <c r="A32" s="36" t="s">
        <v>2902</v>
      </c>
      <c r="B32" s="36"/>
      <c r="C32" s="36"/>
    </row>
    <row r="33" spans="1:3" ht="14.45">
      <c r="A33" s="103"/>
      <c r="B33" s="103"/>
      <c r="C33" s="103"/>
    </row>
  </sheetData>
  <hyperlinks>
    <hyperlink ref="A32" location="'Matters to Migrate'!A1" display="See Matters to Migrate sheet" xr:uid="{28BC7F7D-6CC8-4F88-AA4D-EA0A57CA6743}"/>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tabColor rgb="FF00B0F0"/>
  </sheetPr>
  <dimension ref="A1:S95"/>
  <sheetViews>
    <sheetView zoomScale="90" zoomScaleNormal="90" workbookViewId="0">
      <pane xSplit="1" ySplit="2" topLeftCell="B3" activePane="bottomRight" state="frozen"/>
      <selection pane="bottomRight" activeCell="A26" sqref="A26"/>
      <selection pane="bottomLeft" activeCell="A3" sqref="A3"/>
      <selection pane="topRight" activeCell="B1" sqref="B1"/>
    </sheetView>
  </sheetViews>
  <sheetFormatPr defaultRowHeight="15" customHeight="1"/>
  <cols>
    <col min="1" max="1" width="35.42578125" customWidth="1"/>
    <col min="2" max="2" width="17.42578125" customWidth="1"/>
    <col min="3" max="3" width="15.85546875" customWidth="1"/>
    <col min="4" max="4" width="20.7109375" customWidth="1"/>
    <col min="5" max="5" width="70.28515625" customWidth="1"/>
    <col min="6" max="6" width="34.85546875" customWidth="1"/>
    <col min="7" max="9" width="15.7109375" customWidth="1"/>
    <col min="10" max="10" width="139.5703125" customWidth="1"/>
    <col min="11" max="11" width="51.42578125" customWidth="1"/>
    <col min="12" max="13" width="20.7109375" customWidth="1"/>
    <col min="14" max="14" width="16" bestFit="1" customWidth="1"/>
    <col min="15" max="15" width="39.28515625" customWidth="1"/>
    <col min="16" max="16" width="17.28515625" bestFit="1" customWidth="1"/>
    <col min="17" max="17" width="38.85546875" bestFit="1" customWidth="1"/>
    <col min="18" max="18" width="26.28515625" bestFit="1" customWidth="1"/>
    <col min="19" max="19" width="22.28515625" customWidth="1"/>
  </cols>
  <sheetData>
    <row r="1" spans="1:19" ht="60" customHeight="1">
      <c r="A1" s="1" t="s">
        <v>247</v>
      </c>
      <c r="B1" s="1"/>
      <c r="C1" s="1"/>
      <c r="F1" s="2" t="s">
        <v>297</v>
      </c>
      <c r="K1" s="3" t="s">
        <v>298</v>
      </c>
      <c r="L1" s="4" t="s">
        <v>299</v>
      </c>
      <c r="M1" s="19" t="s">
        <v>300</v>
      </c>
      <c r="N1" s="23" t="s">
        <v>301</v>
      </c>
    </row>
    <row r="2" spans="1:19" ht="14.45">
      <c r="A2" s="5" t="s">
        <v>302</v>
      </c>
      <c r="B2" s="143" t="s">
        <v>303</v>
      </c>
      <c r="C2" s="143"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9" ht="16.149999999999999" customHeight="1">
      <c r="A3" s="131" t="s">
        <v>1292</v>
      </c>
      <c r="B3" s="128" t="s">
        <v>319</v>
      </c>
      <c r="C3" s="128" t="s">
        <v>2618</v>
      </c>
      <c r="D3" s="137" t="s">
        <v>320</v>
      </c>
      <c r="E3" s="6"/>
      <c r="F3" s="6"/>
      <c r="G3" s="6" t="s">
        <v>319</v>
      </c>
      <c r="H3" s="6"/>
      <c r="I3" s="6" t="s">
        <v>98</v>
      </c>
      <c r="J3" s="6" t="s">
        <v>321</v>
      </c>
      <c r="K3" s="6"/>
      <c r="L3" s="6"/>
      <c r="M3" s="6">
        <v>-1</v>
      </c>
      <c r="N3" s="46"/>
      <c r="O3" s="7"/>
      <c r="P3" s="46">
        <v>1</v>
      </c>
      <c r="Q3" s="88" t="s">
        <v>3090</v>
      </c>
      <c r="R3" t="s">
        <v>3091</v>
      </c>
      <c r="S3">
        <f>E3</f>
        <v>0</v>
      </c>
    </row>
    <row r="4" spans="1:19" ht="22.5" customHeight="1">
      <c r="A4" s="132" t="s">
        <v>2433</v>
      </c>
      <c r="B4" s="145" t="s">
        <v>351</v>
      </c>
      <c r="C4" s="145">
        <v>20</v>
      </c>
      <c r="D4" s="138" t="s">
        <v>12</v>
      </c>
      <c r="E4" s="9" t="s">
        <v>2432</v>
      </c>
      <c r="F4" s="9" t="s">
        <v>2434</v>
      </c>
      <c r="G4" s="9" t="s">
        <v>351</v>
      </c>
      <c r="H4" s="9">
        <v>20</v>
      </c>
      <c r="I4" s="9" t="s">
        <v>98</v>
      </c>
      <c r="J4" s="9" t="s">
        <v>3092</v>
      </c>
      <c r="K4" s="9"/>
      <c r="L4" s="9"/>
      <c r="M4" s="9" t="s">
        <v>327</v>
      </c>
      <c r="N4" s="46"/>
      <c r="O4" s="50" t="s">
        <v>3093</v>
      </c>
      <c r="P4" s="46">
        <v>2</v>
      </c>
      <c r="Q4" s="76" t="s">
        <v>3094</v>
      </c>
      <c r="R4" t="s">
        <v>3095</v>
      </c>
      <c r="S4" t="str">
        <f t="shared" ref="S4:S44" si="0">E4</f>
        <v>mds_person</v>
      </c>
    </row>
    <row r="5" spans="1:19" ht="14.45">
      <c r="A5" s="132" t="s">
        <v>487</v>
      </c>
      <c r="B5" s="145" t="s">
        <v>325</v>
      </c>
      <c r="C5" s="145">
        <v>10</v>
      </c>
      <c r="D5" s="138" t="s">
        <v>12</v>
      </c>
      <c r="E5" s="9" t="s">
        <v>2432</v>
      </c>
      <c r="F5" s="9" t="s">
        <v>2155</v>
      </c>
      <c r="G5" s="9" t="s">
        <v>325</v>
      </c>
      <c r="H5" s="9">
        <v>10</v>
      </c>
      <c r="I5" s="9" t="s">
        <v>98</v>
      </c>
      <c r="J5" s="70"/>
      <c r="K5" s="9"/>
      <c r="L5" s="9"/>
      <c r="M5" s="9" t="s">
        <v>327</v>
      </c>
      <c r="N5" s="46"/>
      <c r="O5" s="7"/>
      <c r="P5" s="46">
        <v>3</v>
      </c>
      <c r="Q5" s="76" t="s">
        <v>3096</v>
      </c>
      <c r="R5" t="s">
        <v>3097</v>
      </c>
      <c r="S5" t="str">
        <f t="shared" si="0"/>
        <v>mds_person</v>
      </c>
    </row>
    <row r="6" spans="1:19" ht="29.1">
      <c r="A6" s="162" t="s">
        <v>1281</v>
      </c>
      <c r="B6" s="129" t="s">
        <v>351</v>
      </c>
      <c r="C6" s="129">
        <v>20</v>
      </c>
      <c r="D6" s="139" t="s">
        <v>12</v>
      </c>
      <c r="E6" s="7" t="s">
        <v>266</v>
      </c>
      <c r="F6" s="7" t="s">
        <v>3098</v>
      </c>
      <c r="G6" s="7" t="s">
        <v>351</v>
      </c>
      <c r="H6" s="7">
        <v>20</v>
      </c>
      <c r="I6" s="7" t="s">
        <v>74</v>
      </c>
      <c r="J6" s="50" t="s">
        <v>3099</v>
      </c>
      <c r="K6" s="7"/>
      <c r="L6" s="7"/>
      <c r="M6" s="7"/>
      <c r="N6" s="46"/>
      <c r="O6" s="7"/>
      <c r="P6" s="46">
        <v>4</v>
      </c>
      <c r="Q6" s="76" t="s">
        <v>3100</v>
      </c>
      <c r="R6" t="s">
        <v>3101</v>
      </c>
    </row>
    <row r="7" spans="1:19" ht="14.45">
      <c r="A7" s="133" t="s">
        <v>3102</v>
      </c>
      <c r="B7" s="129" t="s">
        <v>325</v>
      </c>
      <c r="C7" s="129">
        <v>50</v>
      </c>
      <c r="D7" s="139" t="s">
        <v>12</v>
      </c>
      <c r="E7" s="7" t="s">
        <v>2432</v>
      </c>
      <c r="F7" s="7" t="s">
        <v>3103</v>
      </c>
      <c r="G7" s="7" t="s">
        <v>431</v>
      </c>
      <c r="H7" s="7"/>
      <c r="I7" s="7" t="s">
        <v>98</v>
      </c>
      <c r="J7" s="7" t="s">
        <v>3104</v>
      </c>
      <c r="K7" s="7"/>
      <c r="L7" s="7" t="s">
        <v>942</v>
      </c>
      <c r="M7" s="7">
        <v>-1</v>
      </c>
      <c r="N7" s="46"/>
      <c r="O7" s="7" t="s">
        <v>3105</v>
      </c>
      <c r="P7" s="46">
        <v>5</v>
      </c>
      <c r="Q7" s="76" t="s">
        <v>3106</v>
      </c>
      <c r="R7" t="s">
        <v>3107</v>
      </c>
      <c r="S7" t="str">
        <f t="shared" si="0"/>
        <v>mds_person</v>
      </c>
    </row>
    <row r="8" spans="1:19" ht="14.45">
      <c r="A8" s="133" t="s">
        <v>3108</v>
      </c>
      <c r="B8" s="129" t="s">
        <v>351</v>
      </c>
      <c r="C8" s="129">
        <v>50</v>
      </c>
      <c r="D8" s="139" t="s">
        <v>12</v>
      </c>
      <c r="E8" s="7" t="s">
        <v>2432</v>
      </c>
      <c r="F8" s="7" t="s">
        <v>3109</v>
      </c>
      <c r="G8" s="7" t="s">
        <v>351</v>
      </c>
      <c r="H8" s="7">
        <v>50</v>
      </c>
      <c r="I8" s="7" t="s">
        <v>98</v>
      </c>
      <c r="J8" s="7"/>
      <c r="K8" s="7"/>
      <c r="L8" s="7"/>
      <c r="M8" s="7" t="s">
        <v>327</v>
      </c>
      <c r="N8" s="46"/>
      <c r="O8" s="7" t="s">
        <v>3110</v>
      </c>
      <c r="P8" s="46">
        <v>6</v>
      </c>
      <c r="Q8" s="76" t="s">
        <v>3111</v>
      </c>
      <c r="R8" t="s">
        <v>3112</v>
      </c>
      <c r="S8" t="str">
        <f t="shared" si="0"/>
        <v>mds_person</v>
      </c>
    </row>
    <row r="9" spans="1:19" ht="14.45">
      <c r="A9" s="162" t="s">
        <v>1951</v>
      </c>
      <c r="B9" s="129" t="s">
        <v>351</v>
      </c>
      <c r="C9" s="129">
        <v>1</v>
      </c>
      <c r="D9" s="139" t="s">
        <v>12</v>
      </c>
      <c r="E9" s="7" t="s">
        <v>2432</v>
      </c>
      <c r="F9" s="7" t="s">
        <v>3113</v>
      </c>
      <c r="G9" s="7" t="s">
        <v>351</v>
      </c>
      <c r="H9" s="7">
        <v>1</v>
      </c>
      <c r="I9" s="7" t="s">
        <v>74</v>
      </c>
      <c r="J9" s="7"/>
      <c r="K9" s="7"/>
      <c r="L9" s="7" t="s">
        <v>3114</v>
      </c>
      <c r="M9" s="7" t="s">
        <v>327</v>
      </c>
      <c r="N9" s="46"/>
      <c r="O9" s="7"/>
      <c r="P9" s="46">
        <v>7</v>
      </c>
      <c r="Q9" s="76" t="s">
        <v>3115</v>
      </c>
      <c r="R9" t="s">
        <v>3116</v>
      </c>
      <c r="S9" t="str">
        <f t="shared" si="0"/>
        <v>mds_person</v>
      </c>
    </row>
    <row r="10" spans="1:19" ht="14.45">
      <c r="A10" s="133" t="s">
        <v>3117</v>
      </c>
      <c r="B10" s="129" t="s">
        <v>351</v>
      </c>
      <c r="C10" s="129">
        <v>50</v>
      </c>
      <c r="D10" s="139" t="s">
        <v>12</v>
      </c>
      <c r="E10" s="7" t="s">
        <v>2432</v>
      </c>
      <c r="F10" s="7" t="s">
        <v>3118</v>
      </c>
      <c r="G10" s="7" t="s">
        <v>351</v>
      </c>
      <c r="H10" s="7">
        <v>50</v>
      </c>
      <c r="I10" s="7" t="s">
        <v>74</v>
      </c>
      <c r="J10" s="7"/>
      <c r="K10" s="7"/>
      <c r="L10" s="7"/>
      <c r="M10" s="7" t="s">
        <v>327</v>
      </c>
      <c r="N10" s="46"/>
      <c r="O10" s="7"/>
      <c r="P10" s="46">
        <v>8</v>
      </c>
      <c r="Q10" s="76" t="s">
        <v>3119</v>
      </c>
      <c r="R10" t="s">
        <v>3120</v>
      </c>
      <c r="S10" t="str">
        <f t="shared" si="0"/>
        <v>mds_person</v>
      </c>
    </row>
    <row r="11" spans="1:19" ht="14.45">
      <c r="A11" s="133" t="s">
        <v>3121</v>
      </c>
      <c r="B11" s="129" t="s">
        <v>351</v>
      </c>
      <c r="C11" s="129">
        <v>50</v>
      </c>
      <c r="D11" s="139" t="s">
        <v>12</v>
      </c>
      <c r="E11" s="7" t="s">
        <v>2432</v>
      </c>
      <c r="F11" s="7" t="s">
        <v>3122</v>
      </c>
      <c r="G11" s="7" t="s">
        <v>351</v>
      </c>
      <c r="H11" s="7">
        <v>50</v>
      </c>
      <c r="I11" s="7" t="s">
        <v>98</v>
      </c>
      <c r="J11" s="7"/>
      <c r="K11" s="7"/>
      <c r="L11" s="7"/>
      <c r="M11" s="7" t="s">
        <v>327</v>
      </c>
      <c r="N11" s="46"/>
      <c r="O11" s="7"/>
      <c r="P11" s="46">
        <v>9</v>
      </c>
      <c r="Q11" s="76" t="s">
        <v>3123</v>
      </c>
      <c r="R11" t="s">
        <v>3124</v>
      </c>
      <c r="S11" t="str">
        <f t="shared" si="0"/>
        <v>mds_person</v>
      </c>
    </row>
    <row r="12" spans="1:19" ht="14.45">
      <c r="A12" s="133" t="s">
        <v>3125</v>
      </c>
      <c r="B12" s="129" t="s">
        <v>351</v>
      </c>
      <c r="C12" s="129">
        <v>50</v>
      </c>
      <c r="D12" s="139" t="s">
        <v>12</v>
      </c>
      <c r="E12" s="7" t="s">
        <v>2432</v>
      </c>
      <c r="F12" s="7" t="s">
        <v>3126</v>
      </c>
      <c r="G12" s="7" t="s">
        <v>351</v>
      </c>
      <c r="H12" s="7">
        <v>50</v>
      </c>
      <c r="I12" s="7" t="s">
        <v>74</v>
      </c>
      <c r="J12" s="7" t="s">
        <v>3127</v>
      </c>
      <c r="K12" s="7"/>
      <c r="L12" s="7"/>
      <c r="M12" s="7" t="s">
        <v>327</v>
      </c>
      <c r="N12" s="46"/>
      <c r="O12" s="7"/>
      <c r="P12" s="46">
        <v>10</v>
      </c>
      <c r="Q12" s="76" t="s">
        <v>3128</v>
      </c>
      <c r="R12" t="s">
        <v>3129</v>
      </c>
      <c r="S12" t="str">
        <f t="shared" si="0"/>
        <v>mds_person</v>
      </c>
    </row>
    <row r="13" spans="1:19" ht="14.45">
      <c r="A13" s="133" t="s">
        <v>3130</v>
      </c>
      <c r="B13" s="129" t="s">
        <v>351</v>
      </c>
      <c r="C13" s="129">
        <v>50</v>
      </c>
      <c r="D13" s="139" t="s">
        <v>12</v>
      </c>
      <c r="E13" s="7" t="s">
        <v>2432</v>
      </c>
      <c r="F13" s="7" t="s">
        <v>3131</v>
      </c>
      <c r="G13" s="7" t="s">
        <v>351</v>
      </c>
      <c r="H13" s="7">
        <v>50</v>
      </c>
      <c r="I13" s="7" t="s">
        <v>74</v>
      </c>
      <c r="J13" s="7" t="s">
        <v>3132</v>
      </c>
      <c r="K13" s="7"/>
      <c r="L13" s="7"/>
      <c r="M13" s="7" t="s">
        <v>327</v>
      </c>
      <c r="N13" s="46"/>
      <c r="O13" s="7"/>
      <c r="P13" s="46">
        <v>11</v>
      </c>
      <c r="Q13" s="76" t="s">
        <v>3133</v>
      </c>
      <c r="R13" t="s">
        <v>3134</v>
      </c>
      <c r="S13" t="str">
        <f t="shared" si="0"/>
        <v>mds_person</v>
      </c>
    </row>
    <row r="14" spans="1:19" ht="14.45">
      <c r="A14" s="133" t="s">
        <v>3135</v>
      </c>
      <c r="B14" s="129" t="s">
        <v>351</v>
      </c>
      <c r="C14" s="129">
        <v>50</v>
      </c>
      <c r="D14" s="139" t="s">
        <v>12</v>
      </c>
      <c r="E14" s="7" t="s">
        <v>2432</v>
      </c>
      <c r="F14" s="7" t="s">
        <v>3136</v>
      </c>
      <c r="G14" s="7" t="s">
        <v>351</v>
      </c>
      <c r="H14" s="7">
        <v>50</v>
      </c>
      <c r="I14" s="7" t="s">
        <v>98</v>
      </c>
      <c r="J14" s="7" t="s">
        <v>3132</v>
      </c>
      <c r="K14" s="7"/>
      <c r="L14" s="7"/>
      <c r="M14" s="7" t="s">
        <v>327</v>
      </c>
      <c r="N14" s="46"/>
      <c r="O14" s="7"/>
      <c r="P14" s="46">
        <v>12</v>
      </c>
      <c r="Q14" s="76" t="s">
        <v>3137</v>
      </c>
      <c r="R14" t="s">
        <v>3138</v>
      </c>
      <c r="S14" t="str">
        <f t="shared" si="0"/>
        <v>mds_person</v>
      </c>
    </row>
    <row r="15" spans="1:19" ht="14.45">
      <c r="A15" s="133" t="s">
        <v>3139</v>
      </c>
      <c r="B15" s="129" t="s">
        <v>351</v>
      </c>
      <c r="C15" s="129">
        <v>50</v>
      </c>
      <c r="D15" s="139" t="s">
        <v>12</v>
      </c>
      <c r="E15" s="7" t="s">
        <v>2432</v>
      </c>
      <c r="F15" s="7" t="s">
        <v>3140</v>
      </c>
      <c r="G15" s="7" t="s">
        <v>351</v>
      </c>
      <c r="H15" s="7">
        <v>50</v>
      </c>
      <c r="I15" s="7" t="s">
        <v>74</v>
      </c>
      <c r="J15" s="7"/>
      <c r="K15" s="7"/>
      <c r="L15" s="7"/>
      <c r="M15" s="7" t="s">
        <v>327</v>
      </c>
      <c r="N15" s="46"/>
      <c r="O15" s="7"/>
      <c r="P15" s="46">
        <v>13</v>
      </c>
      <c r="Q15" s="76" t="s">
        <v>3141</v>
      </c>
      <c r="R15" t="s">
        <v>3142</v>
      </c>
      <c r="S15" t="str">
        <f t="shared" si="0"/>
        <v>mds_person</v>
      </c>
    </row>
    <row r="16" spans="1:19" ht="14.45">
      <c r="A16" s="133" t="s">
        <v>3143</v>
      </c>
      <c r="B16" s="129" t="s">
        <v>351</v>
      </c>
      <c r="C16" s="129">
        <v>50</v>
      </c>
      <c r="D16" s="139" t="s">
        <v>12</v>
      </c>
      <c r="E16" s="7" t="s">
        <v>2432</v>
      </c>
      <c r="F16" s="7" t="s">
        <v>3144</v>
      </c>
      <c r="G16" s="7" t="s">
        <v>351</v>
      </c>
      <c r="H16" s="7">
        <v>50</v>
      </c>
      <c r="I16" s="7" t="s">
        <v>74</v>
      </c>
      <c r="J16" s="7"/>
      <c r="K16" s="7"/>
      <c r="L16" s="7"/>
      <c r="M16" s="7" t="s">
        <v>327</v>
      </c>
      <c r="N16" s="46"/>
      <c r="O16" s="7"/>
      <c r="P16" s="46">
        <v>14</v>
      </c>
      <c r="Q16" s="76" t="s">
        <v>3145</v>
      </c>
      <c r="R16" t="s">
        <v>3146</v>
      </c>
      <c r="S16" t="str">
        <f t="shared" si="0"/>
        <v>mds_person</v>
      </c>
    </row>
    <row r="17" spans="1:19" ht="14.45">
      <c r="A17" s="162" t="s">
        <v>3147</v>
      </c>
      <c r="B17" s="129" t="s">
        <v>351</v>
      </c>
      <c r="C17" s="129">
        <v>500</v>
      </c>
      <c r="D17" s="139" t="s">
        <v>12</v>
      </c>
      <c r="E17" s="7" t="s">
        <v>2432</v>
      </c>
      <c r="F17" s="7" t="s">
        <v>3148</v>
      </c>
      <c r="G17" s="7" t="s">
        <v>351</v>
      </c>
      <c r="H17" s="7">
        <v>500</v>
      </c>
      <c r="I17" s="7" t="s">
        <v>74</v>
      </c>
      <c r="J17" s="7"/>
      <c r="K17" s="7"/>
      <c r="L17" s="7"/>
      <c r="M17" s="7" t="s">
        <v>327</v>
      </c>
      <c r="N17" s="46"/>
      <c r="O17" s="7"/>
      <c r="P17" s="46">
        <v>15</v>
      </c>
      <c r="Q17" s="76" t="s">
        <v>3149</v>
      </c>
      <c r="R17" t="s">
        <v>3150</v>
      </c>
      <c r="S17" t="str">
        <f t="shared" si="0"/>
        <v>mds_person</v>
      </c>
    </row>
    <row r="18" spans="1:19" ht="14.45">
      <c r="A18" s="133" t="s">
        <v>3151</v>
      </c>
      <c r="B18" s="129" t="s">
        <v>367</v>
      </c>
      <c r="C18" s="129" t="s">
        <v>2618</v>
      </c>
      <c r="D18" s="139" t="s">
        <v>12</v>
      </c>
      <c r="E18" s="7" t="s">
        <v>2432</v>
      </c>
      <c r="F18" s="7" t="s">
        <v>3152</v>
      </c>
      <c r="G18" s="7" t="s">
        <v>367</v>
      </c>
      <c r="H18" s="7"/>
      <c r="I18" s="7" t="s">
        <v>74</v>
      </c>
      <c r="J18" s="7"/>
      <c r="K18" s="7"/>
      <c r="L18" s="7"/>
      <c r="M18" s="7" t="s">
        <v>368</v>
      </c>
      <c r="N18" s="46"/>
      <c r="O18" s="7" t="s">
        <v>3153</v>
      </c>
      <c r="P18" s="46">
        <v>16</v>
      </c>
      <c r="Q18" s="76" t="s">
        <v>3154</v>
      </c>
      <c r="R18" t="s">
        <v>3155</v>
      </c>
      <c r="S18" t="str">
        <f t="shared" si="0"/>
        <v>mds_person</v>
      </c>
    </row>
    <row r="19" spans="1:19" ht="14.45">
      <c r="A19" s="133" t="s">
        <v>3156</v>
      </c>
      <c r="B19" s="129" t="s">
        <v>367</v>
      </c>
      <c r="C19" s="129" t="s">
        <v>2618</v>
      </c>
      <c r="D19" s="139" t="s">
        <v>12</v>
      </c>
      <c r="E19" s="7" t="s">
        <v>2432</v>
      </c>
      <c r="F19" s="7" t="s">
        <v>3157</v>
      </c>
      <c r="G19" s="7" t="s">
        <v>367</v>
      </c>
      <c r="H19" s="7"/>
      <c r="I19" s="7" t="s">
        <v>74</v>
      </c>
      <c r="J19" s="7" t="s">
        <v>3158</v>
      </c>
      <c r="K19" s="7"/>
      <c r="L19" s="7"/>
      <c r="M19" s="7" t="s">
        <v>368</v>
      </c>
      <c r="N19" s="46"/>
      <c r="O19" s="7" t="s">
        <v>3153</v>
      </c>
      <c r="P19" s="46">
        <v>17</v>
      </c>
      <c r="Q19" s="76" t="s">
        <v>3159</v>
      </c>
      <c r="R19" t="s">
        <v>3160</v>
      </c>
      <c r="S19" t="str">
        <f t="shared" si="0"/>
        <v>mds_person</v>
      </c>
    </row>
    <row r="20" spans="1:19" ht="14.45">
      <c r="A20" s="162" t="s">
        <v>3161</v>
      </c>
      <c r="B20" s="129" t="s">
        <v>351</v>
      </c>
      <c r="C20" s="129">
        <v>200</v>
      </c>
      <c r="D20" s="139" t="s">
        <v>12</v>
      </c>
      <c r="E20" s="7" t="s">
        <v>2432</v>
      </c>
      <c r="F20" s="7" t="s">
        <v>3162</v>
      </c>
      <c r="G20" s="7" t="s">
        <v>351</v>
      </c>
      <c r="H20" s="7">
        <v>200</v>
      </c>
      <c r="I20" s="7" t="s">
        <v>74</v>
      </c>
      <c r="J20" s="7"/>
      <c r="K20" s="7"/>
      <c r="L20" s="7" t="s">
        <v>3114</v>
      </c>
      <c r="M20" s="7" t="s">
        <v>327</v>
      </c>
      <c r="N20" s="46"/>
      <c r="O20" s="7"/>
      <c r="P20" s="46">
        <v>18</v>
      </c>
      <c r="Q20" s="76" t="s">
        <v>3163</v>
      </c>
      <c r="R20" t="s">
        <v>3164</v>
      </c>
      <c r="S20" t="str">
        <f t="shared" si="0"/>
        <v>mds_person</v>
      </c>
    </row>
    <row r="21" spans="1:19" ht="14.45">
      <c r="A21" s="135" t="s">
        <v>1103</v>
      </c>
      <c r="B21" s="130" t="s">
        <v>319</v>
      </c>
      <c r="C21" s="130" t="s">
        <v>2618</v>
      </c>
      <c r="D21" s="141" t="s">
        <v>66</v>
      </c>
      <c r="E21" s="84" t="s">
        <v>281</v>
      </c>
      <c r="F21" s="84" t="s">
        <v>1103</v>
      </c>
      <c r="G21" s="84" t="s">
        <v>319</v>
      </c>
      <c r="H21" s="84"/>
      <c r="I21" s="84" t="s">
        <v>74</v>
      </c>
      <c r="J21" s="84" t="s">
        <v>3165</v>
      </c>
      <c r="K21" s="84"/>
      <c r="L21" s="84"/>
      <c r="M21" s="84">
        <v>-1</v>
      </c>
      <c r="N21" s="46" t="s">
        <v>3166</v>
      </c>
      <c r="O21" s="71" t="s">
        <v>3167</v>
      </c>
      <c r="P21" s="46">
        <v>19</v>
      </c>
      <c r="Q21" t="s">
        <v>3168</v>
      </c>
      <c r="R21" t="s">
        <v>3169</v>
      </c>
      <c r="S21" t="str">
        <f t="shared" si="0"/>
        <v>team</v>
      </c>
    </row>
    <row r="22" spans="1:19" ht="14.45">
      <c r="A22" s="133" t="s">
        <v>3170</v>
      </c>
      <c r="B22" s="129" t="s">
        <v>351</v>
      </c>
      <c r="C22" s="129">
        <v>250</v>
      </c>
      <c r="D22" s="139" t="s">
        <v>12</v>
      </c>
      <c r="E22" s="7" t="s">
        <v>2432</v>
      </c>
      <c r="F22" s="7" t="s">
        <v>3171</v>
      </c>
      <c r="G22" s="7" t="s">
        <v>351</v>
      </c>
      <c r="H22" s="7">
        <v>250</v>
      </c>
      <c r="I22" s="7" t="s">
        <v>74</v>
      </c>
      <c r="J22" s="7" t="s">
        <v>3172</v>
      </c>
      <c r="K22" s="7"/>
      <c r="L22" s="7"/>
      <c r="M22" s="7" t="s">
        <v>327</v>
      </c>
      <c r="N22" s="46"/>
      <c r="O22" s="7"/>
      <c r="P22" s="46">
        <v>20</v>
      </c>
      <c r="Q22" s="76" t="s">
        <v>3173</v>
      </c>
      <c r="R22" t="s">
        <v>3174</v>
      </c>
      <c r="S22" t="str">
        <f t="shared" si="0"/>
        <v>mds_person</v>
      </c>
    </row>
    <row r="23" spans="1:19" ht="14.45">
      <c r="A23" s="133" t="s">
        <v>3175</v>
      </c>
      <c r="B23" s="129" t="s">
        <v>351</v>
      </c>
      <c r="C23" s="129">
        <v>256</v>
      </c>
      <c r="D23" s="139" t="s">
        <v>12</v>
      </c>
      <c r="E23" s="7" t="s">
        <v>2432</v>
      </c>
      <c r="F23" s="7" t="s">
        <v>3176</v>
      </c>
      <c r="G23" s="7" t="s">
        <v>351</v>
      </c>
      <c r="H23" s="7">
        <v>256</v>
      </c>
      <c r="I23" s="7" t="s">
        <v>74</v>
      </c>
      <c r="J23" s="7" t="s">
        <v>3177</v>
      </c>
      <c r="K23" s="7"/>
      <c r="L23" s="7"/>
      <c r="M23" s="7" t="s">
        <v>327</v>
      </c>
      <c r="N23" s="46"/>
      <c r="O23" s="7"/>
      <c r="P23" s="46">
        <v>21</v>
      </c>
      <c r="Q23" s="76" t="s">
        <v>3178</v>
      </c>
      <c r="R23" t="s">
        <v>3179</v>
      </c>
      <c r="S23" t="str">
        <f t="shared" si="0"/>
        <v>mds_person</v>
      </c>
    </row>
    <row r="24" spans="1:19" ht="14.45">
      <c r="A24" s="136" t="s">
        <v>1072</v>
      </c>
      <c r="B24" s="130" t="s">
        <v>319</v>
      </c>
      <c r="C24" s="130" t="s">
        <v>2618</v>
      </c>
      <c r="D24" s="142" t="s">
        <v>66</v>
      </c>
      <c r="E24" s="22" t="s">
        <v>270</v>
      </c>
      <c r="F24" s="22" t="s">
        <v>1072</v>
      </c>
      <c r="G24" s="22" t="s">
        <v>319</v>
      </c>
      <c r="H24" s="22"/>
      <c r="I24" s="22"/>
      <c r="J24" s="22" t="s">
        <v>3180</v>
      </c>
      <c r="K24" s="22"/>
      <c r="L24" s="22"/>
      <c r="M24" s="22" t="s">
        <v>327</v>
      </c>
      <c r="N24" s="46"/>
      <c r="O24" s="71" t="s">
        <v>3181</v>
      </c>
      <c r="P24" s="46">
        <v>22</v>
      </c>
      <c r="Q24" s="76" t="s">
        <v>3182</v>
      </c>
      <c r="R24" t="s">
        <v>3183</v>
      </c>
      <c r="S24" t="str">
        <f t="shared" si="0"/>
        <v>practice_group</v>
      </c>
    </row>
    <row r="25" spans="1:19" ht="14.45">
      <c r="A25" s="133" t="s">
        <v>3184</v>
      </c>
      <c r="B25" s="129" t="s">
        <v>351</v>
      </c>
      <c r="C25" s="129">
        <v>8</v>
      </c>
      <c r="D25" s="139" t="s">
        <v>12</v>
      </c>
      <c r="E25" s="7" t="s">
        <v>2432</v>
      </c>
      <c r="F25" s="7" t="s">
        <v>3185</v>
      </c>
      <c r="G25" s="7" t="s">
        <v>351</v>
      </c>
      <c r="H25" s="7">
        <v>8</v>
      </c>
      <c r="I25" s="7" t="s">
        <v>74</v>
      </c>
      <c r="J25" s="7"/>
      <c r="K25" s="7"/>
      <c r="L25" s="7"/>
      <c r="M25" s="7" t="s">
        <v>327</v>
      </c>
      <c r="N25" s="46"/>
      <c r="O25" s="7"/>
      <c r="P25" s="46">
        <v>23</v>
      </c>
      <c r="Q25" t="s">
        <v>3186</v>
      </c>
      <c r="R25" t="s">
        <v>3187</v>
      </c>
      <c r="S25" t="str">
        <f t="shared" si="0"/>
        <v>mds_person</v>
      </c>
    </row>
    <row r="26" spans="1:19" ht="14.45">
      <c r="A26" s="162" t="s">
        <v>3188</v>
      </c>
      <c r="B26" s="129" t="s">
        <v>351</v>
      </c>
      <c r="C26" s="129">
        <v>100</v>
      </c>
      <c r="D26" s="139" t="s">
        <v>12</v>
      </c>
      <c r="E26" s="7" t="s">
        <v>259</v>
      </c>
      <c r="F26" s="7" t="s">
        <v>3189</v>
      </c>
      <c r="G26" s="7" t="s">
        <v>351</v>
      </c>
      <c r="H26" s="7">
        <v>100</v>
      </c>
      <c r="I26" s="7" t="s">
        <v>74</v>
      </c>
      <c r="J26" s="7"/>
      <c r="K26" s="7"/>
      <c r="L26" s="7"/>
      <c r="M26" s="7" t="s">
        <v>327</v>
      </c>
      <c r="N26" s="46"/>
      <c r="O26" s="7"/>
      <c r="P26" s="46">
        <v>24</v>
      </c>
      <c r="Q26" s="76" t="s">
        <v>3190</v>
      </c>
      <c r="R26" t="s">
        <v>3191</v>
      </c>
      <c r="S26" t="str">
        <f t="shared" si="0"/>
        <v>mds_personlocale</v>
      </c>
    </row>
    <row r="27" spans="1:19" ht="14.45">
      <c r="A27" s="133" t="s">
        <v>3192</v>
      </c>
      <c r="B27" s="129" t="s">
        <v>351</v>
      </c>
      <c r="C27" s="129">
        <v>100</v>
      </c>
      <c r="D27" s="139" t="s">
        <v>12</v>
      </c>
      <c r="E27" s="7" t="s">
        <v>266</v>
      </c>
      <c r="F27" s="7" t="s">
        <v>3193</v>
      </c>
      <c r="G27" s="7" t="s">
        <v>351</v>
      </c>
      <c r="H27" s="7">
        <v>100</v>
      </c>
      <c r="I27" s="7" t="s">
        <v>74</v>
      </c>
      <c r="J27" s="7" t="s">
        <v>3194</v>
      </c>
      <c r="K27" s="7"/>
      <c r="L27" s="7"/>
      <c r="M27" s="7" t="s">
        <v>327</v>
      </c>
      <c r="N27" s="46"/>
      <c r="O27" s="7" t="s">
        <v>3195</v>
      </c>
      <c r="P27" s="46">
        <v>25</v>
      </c>
      <c r="Q27" s="76" t="s">
        <v>3196</v>
      </c>
      <c r="R27" t="s">
        <v>3197</v>
      </c>
      <c r="S27" t="str">
        <f t="shared" si="0"/>
        <v>mds_personsystemmap</v>
      </c>
    </row>
    <row r="28" spans="1:19" ht="72.599999999999994">
      <c r="A28" s="134" t="s">
        <v>3198</v>
      </c>
      <c r="B28" s="129" t="s">
        <v>351</v>
      </c>
      <c r="C28" s="129">
        <v>20</v>
      </c>
      <c r="D28" s="140" t="s">
        <v>12</v>
      </c>
      <c r="E28" s="83" t="s">
        <v>266</v>
      </c>
      <c r="F28" s="83" t="s">
        <v>3199</v>
      </c>
      <c r="G28" s="83" t="s">
        <v>351</v>
      </c>
      <c r="H28" s="83">
        <v>20</v>
      </c>
      <c r="I28" s="83" t="s">
        <v>74</v>
      </c>
      <c r="J28" s="83" t="s">
        <v>3200</v>
      </c>
      <c r="K28" s="83"/>
      <c r="L28" s="83"/>
      <c r="M28" s="83" t="s">
        <v>327</v>
      </c>
      <c r="N28" s="91"/>
      <c r="O28" s="82" t="s">
        <v>3201</v>
      </c>
      <c r="P28" s="46">
        <v>26</v>
      </c>
      <c r="Q28" s="76" t="s">
        <v>3202</v>
      </c>
      <c r="R28" t="s">
        <v>3203</v>
      </c>
      <c r="S28" t="str">
        <f t="shared" si="0"/>
        <v>mds_personsystemmap</v>
      </c>
    </row>
    <row r="29" spans="1:19" ht="14.45">
      <c r="A29" s="133" t="s">
        <v>3204</v>
      </c>
      <c r="B29" s="129" t="s">
        <v>351</v>
      </c>
      <c r="C29" s="129">
        <v>100</v>
      </c>
      <c r="D29" s="139" t="s">
        <v>12</v>
      </c>
      <c r="E29" s="7" t="s">
        <v>266</v>
      </c>
      <c r="F29" s="7" t="s">
        <v>3205</v>
      </c>
      <c r="G29" s="7" t="s">
        <v>351</v>
      </c>
      <c r="H29" s="7">
        <v>100</v>
      </c>
      <c r="I29" s="7" t="s">
        <v>74</v>
      </c>
      <c r="J29" s="7" t="s">
        <v>3206</v>
      </c>
      <c r="K29" s="7"/>
      <c r="L29" s="7"/>
      <c r="M29" s="7" t="s">
        <v>327</v>
      </c>
      <c r="N29" s="46"/>
      <c r="O29" s="7"/>
      <c r="P29" s="46">
        <v>27</v>
      </c>
      <c r="Q29" s="76" t="s">
        <v>3207</v>
      </c>
      <c r="R29" t="s">
        <v>3208</v>
      </c>
      <c r="S29" t="str">
        <f t="shared" si="0"/>
        <v>mds_personsystemmap</v>
      </c>
    </row>
    <row r="30" spans="1:19" ht="14.45">
      <c r="A30" s="134" t="s">
        <v>3209</v>
      </c>
      <c r="B30" s="129" t="s">
        <v>351</v>
      </c>
      <c r="C30" s="129">
        <v>100</v>
      </c>
      <c r="D30" s="140" t="s">
        <v>12</v>
      </c>
      <c r="E30" s="83" t="s">
        <v>266</v>
      </c>
      <c r="F30" s="83" t="s">
        <v>3210</v>
      </c>
      <c r="G30" s="83" t="s">
        <v>351</v>
      </c>
      <c r="H30" s="83">
        <v>100</v>
      </c>
      <c r="I30" s="83" t="s">
        <v>74</v>
      </c>
      <c r="J30" s="83" t="s">
        <v>3211</v>
      </c>
      <c r="K30" s="83"/>
      <c r="L30" s="83"/>
      <c r="M30" s="83" t="s">
        <v>327</v>
      </c>
      <c r="N30" s="91"/>
      <c r="O30" s="37" t="s">
        <v>3212</v>
      </c>
      <c r="P30" s="46">
        <v>28</v>
      </c>
      <c r="Q30" s="76" t="s">
        <v>3213</v>
      </c>
      <c r="R30" t="s">
        <v>3214</v>
      </c>
      <c r="S30" t="str">
        <f t="shared" si="0"/>
        <v>mds_personsystemmap</v>
      </c>
    </row>
    <row r="31" spans="1:19" ht="14.45">
      <c r="A31" s="134" t="s">
        <v>3215</v>
      </c>
      <c r="B31" s="129" t="s">
        <v>351</v>
      </c>
      <c r="C31" s="129">
        <v>100</v>
      </c>
      <c r="D31" s="140" t="s">
        <v>12</v>
      </c>
      <c r="E31" s="83" t="s">
        <v>266</v>
      </c>
      <c r="F31" s="83" t="s">
        <v>3216</v>
      </c>
      <c r="G31" s="83" t="s">
        <v>351</v>
      </c>
      <c r="H31" s="83">
        <v>100</v>
      </c>
      <c r="I31" s="83" t="s">
        <v>74</v>
      </c>
      <c r="J31" s="83" t="s">
        <v>3217</v>
      </c>
      <c r="K31" s="83"/>
      <c r="L31" s="83"/>
      <c r="M31" s="83" t="s">
        <v>327</v>
      </c>
      <c r="N31" s="91"/>
      <c r="O31" s="37" t="s">
        <v>3218</v>
      </c>
      <c r="P31" s="46">
        <v>29</v>
      </c>
      <c r="Q31" s="76" t="s">
        <v>3219</v>
      </c>
      <c r="R31" s="114" t="s">
        <v>3220</v>
      </c>
      <c r="S31" t="str">
        <f t="shared" si="0"/>
        <v>mds_personsystemmap</v>
      </c>
    </row>
    <row r="32" spans="1:19" ht="21.75" customHeight="1">
      <c r="A32" s="133" t="s">
        <v>3221</v>
      </c>
      <c r="B32" s="129" t="s">
        <v>351</v>
      </c>
      <c r="C32" s="129">
        <v>24</v>
      </c>
      <c r="D32" s="139" t="s">
        <v>12</v>
      </c>
      <c r="E32" s="7" t="s">
        <v>269</v>
      </c>
      <c r="F32" s="7" t="s">
        <v>985</v>
      </c>
      <c r="G32" s="7" t="s">
        <v>351</v>
      </c>
      <c r="H32" s="7">
        <v>24</v>
      </c>
      <c r="I32" s="7" t="s">
        <v>98</v>
      </c>
      <c r="J32" s="50" t="s">
        <v>3222</v>
      </c>
      <c r="K32" s="7"/>
      <c r="L32" s="7"/>
      <c r="M32" s="7" t="s">
        <v>327</v>
      </c>
      <c r="N32" s="46"/>
      <c r="O32" s="7"/>
      <c r="P32" s="46">
        <v>30</v>
      </c>
      <c r="Q32" s="76" t="s">
        <v>3223</v>
      </c>
      <c r="R32" t="s">
        <v>3224</v>
      </c>
      <c r="S32" t="str">
        <f t="shared" si="0"/>
        <v>mds_phone</v>
      </c>
    </row>
    <row r="33" spans="1:19" ht="19.149999999999999" customHeight="1">
      <c r="A33" s="133" t="s">
        <v>3225</v>
      </c>
      <c r="B33" s="129" t="s">
        <v>351</v>
      </c>
      <c r="C33" s="129">
        <v>6</v>
      </c>
      <c r="D33" s="139" t="s">
        <v>12</v>
      </c>
      <c r="E33" s="7" t="s">
        <v>269</v>
      </c>
      <c r="F33" s="7" t="s">
        <v>3226</v>
      </c>
      <c r="G33" s="7" t="s">
        <v>351</v>
      </c>
      <c r="H33" s="7">
        <v>6</v>
      </c>
      <c r="I33" s="7" t="s">
        <v>74</v>
      </c>
      <c r="J33" s="50" t="s">
        <v>3227</v>
      </c>
      <c r="K33" s="7"/>
      <c r="L33" s="7"/>
      <c r="M33" s="7" t="s">
        <v>327</v>
      </c>
      <c r="N33" s="46"/>
      <c r="O33" s="7"/>
      <c r="P33" s="46">
        <v>31</v>
      </c>
      <c r="Q33" s="76" t="s">
        <v>3228</v>
      </c>
      <c r="R33" t="s">
        <v>3229</v>
      </c>
      <c r="S33" t="str">
        <f t="shared" si="0"/>
        <v>mds_phone</v>
      </c>
    </row>
    <row r="34" spans="1:19" ht="19.5" customHeight="1">
      <c r="A34" s="133" t="s">
        <v>3230</v>
      </c>
      <c r="B34" s="129" t="s">
        <v>351</v>
      </c>
      <c r="C34" s="129">
        <v>24</v>
      </c>
      <c r="D34" s="139" t="s">
        <v>12</v>
      </c>
      <c r="E34" s="7" t="s">
        <v>269</v>
      </c>
      <c r="F34" s="7" t="s">
        <v>985</v>
      </c>
      <c r="G34" s="7" t="s">
        <v>351</v>
      </c>
      <c r="H34" s="7">
        <v>24</v>
      </c>
      <c r="I34" s="7" t="s">
        <v>98</v>
      </c>
      <c r="J34" s="50" t="s">
        <v>3231</v>
      </c>
      <c r="K34" s="7"/>
      <c r="L34" s="7"/>
      <c r="M34" s="7" t="s">
        <v>327</v>
      </c>
      <c r="N34" s="46"/>
      <c r="O34" s="7"/>
      <c r="P34" s="46">
        <v>32</v>
      </c>
      <c r="Q34" s="76" t="s">
        <v>3232</v>
      </c>
      <c r="R34" t="s">
        <v>3233</v>
      </c>
      <c r="S34" t="str">
        <f t="shared" si="0"/>
        <v>mds_phone</v>
      </c>
    </row>
    <row r="35" spans="1:19" ht="43.5">
      <c r="A35" s="133" t="s">
        <v>3234</v>
      </c>
      <c r="B35" s="129" t="s">
        <v>351</v>
      </c>
      <c r="C35" s="129">
        <v>100</v>
      </c>
      <c r="D35" s="139" t="s">
        <v>12</v>
      </c>
      <c r="E35" s="7" t="s">
        <v>164</v>
      </c>
      <c r="F35" s="7" t="s">
        <v>3235</v>
      </c>
      <c r="G35" s="7" t="s">
        <v>351</v>
      </c>
      <c r="H35" s="7">
        <v>100</v>
      </c>
      <c r="I35" s="7" t="s">
        <v>98</v>
      </c>
      <c r="J35" s="50" t="s">
        <v>3236</v>
      </c>
      <c r="K35" s="7"/>
      <c r="L35" s="7"/>
      <c r="M35" s="7" t="s">
        <v>327</v>
      </c>
      <c r="N35" s="46"/>
      <c r="O35" s="7"/>
      <c r="P35" s="46">
        <v>33</v>
      </c>
      <c r="Q35" s="76" t="s">
        <v>3237</v>
      </c>
      <c r="R35" t="s">
        <v>3238</v>
      </c>
      <c r="S35" t="str">
        <f t="shared" si="0"/>
        <v>mds_email</v>
      </c>
    </row>
    <row r="36" spans="1:19" ht="14.45">
      <c r="A36" s="133" t="s">
        <v>3239</v>
      </c>
      <c r="B36" s="129" t="s">
        <v>351</v>
      </c>
      <c r="C36" s="129">
        <v>256</v>
      </c>
      <c r="D36" s="139" t="s">
        <v>12</v>
      </c>
      <c r="E36" s="7" t="s">
        <v>2432</v>
      </c>
      <c r="F36" s="7" t="s">
        <v>3136</v>
      </c>
      <c r="G36" s="7" t="s">
        <v>351</v>
      </c>
      <c r="H36" s="7">
        <v>50</v>
      </c>
      <c r="I36" s="7" t="s">
        <v>98</v>
      </c>
      <c r="J36" s="7" t="s">
        <v>3240</v>
      </c>
      <c r="K36" s="7"/>
      <c r="L36" s="7" t="s">
        <v>3241</v>
      </c>
      <c r="M36" s="7" t="s">
        <v>327</v>
      </c>
      <c r="N36" s="46"/>
      <c r="O36" s="7"/>
      <c r="P36" s="46">
        <v>34</v>
      </c>
      <c r="Q36" s="76" t="s">
        <v>3242</v>
      </c>
      <c r="R36" t="s">
        <v>3243</v>
      </c>
      <c r="S36" t="str">
        <f t="shared" si="0"/>
        <v>mds_person</v>
      </c>
    </row>
    <row r="37" spans="1:19" ht="29.1">
      <c r="A37" s="136" t="s">
        <v>1715</v>
      </c>
      <c r="B37" s="130" t="s">
        <v>319</v>
      </c>
      <c r="C37" s="130" t="s">
        <v>2618</v>
      </c>
      <c r="D37" s="142" t="s">
        <v>60</v>
      </c>
      <c r="E37" s="22" t="s">
        <v>149</v>
      </c>
      <c r="F37" s="22" t="s">
        <v>1715</v>
      </c>
      <c r="G37" s="22" t="s">
        <v>319</v>
      </c>
      <c r="H37" s="22"/>
      <c r="I37" s="22" t="s">
        <v>74</v>
      </c>
      <c r="J37" s="26" t="s">
        <v>3244</v>
      </c>
      <c r="K37" s="22"/>
      <c r="L37" s="22"/>
      <c r="M37" s="22" t="s">
        <v>327</v>
      </c>
      <c r="N37" s="46"/>
      <c r="O37" s="7" t="s">
        <v>3245</v>
      </c>
      <c r="P37" s="46">
        <v>35</v>
      </c>
      <c r="Q37" s="88" t="s">
        <v>3246</v>
      </c>
      <c r="R37" t="s">
        <v>3247</v>
      </c>
    </row>
    <row r="38" spans="1:19" ht="14.45">
      <c r="A38" s="136" t="s">
        <v>479</v>
      </c>
      <c r="B38" s="130" t="s">
        <v>319</v>
      </c>
      <c r="C38" s="130" t="s">
        <v>2618</v>
      </c>
      <c r="D38" s="142" t="s">
        <v>66</v>
      </c>
      <c r="E38" s="22" t="s">
        <v>146</v>
      </c>
      <c r="F38" s="22" t="s">
        <v>479</v>
      </c>
      <c r="G38" s="22" t="s">
        <v>319</v>
      </c>
      <c r="H38" s="22"/>
      <c r="I38" s="22" t="s">
        <v>74</v>
      </c>
      <c r="J38" s="22" t="s">
        <v>3248</v>
      </c>
      <c r="K38" s="22"/>
      <c r="L38" s="22" t="s">
        <v>3241</v>
      </c>
      <c r="M38" s="22" t="s">
        <v>327</v>
      </c>
      <c r="N38" s="46"/>
      <c r="O38" s="7"/>
      <c r="P38" s="46">
        <v>36</v>
      </c>
      <c r="Q38" s="76" t="s">
        <v>3249</v>
      </c>
      <c r="R38" t="s">
        <v>3250</v>
      </c>
      <c r="S38" t="str">
        <f t="shared" si="0"/>
        <v>company</v>
      </c>
    </row>
    <row r="39" spans="1:19" ht="14.45">
      <c r="A39" s="136" t="s">
        <v>927</v>
      </c>
      <c r="B39" s="130" t="s">
        <v>319</v>
      </c>
      <c r="C39" s="130" t="s">
        <v>2618</v>
      </c>
      <c r="D39" s="142" t="s">
        <v>66</v>
      </c>
      <c r="E39" s="22" t="s">
        <v>236</v>
      </c>
      <c r="F39" s="22" t="s">
        <v>927</v>
      </c>
      <c r="G39" s="22" t="s">
        <v>319</v>
      </c>
      <c r="H39" s="22"/>
      <c r="I39" s="22" t="s">
        <v>74</v>
      </c>
      <c r="J39" s="22" t="s">
        <v>3251</v>
      </c>
      <c r="K39" s="22"/>
      <c r="L39" s="22"/>
      <c r="M39" s="22"/>
      <c r="N39" s="46"/>
      <c r="O39" s="7"/>
      <c r="P39" s="46">
        <v>37</v>
      </c>
      <c r="Q39" s="88" t="s">
        <v>3252</v>
      </c>
      <c r="R39" t="s">
        <v>3253</v>
      </c>
    </row>
    <row r="40" spans="1:19" ht="14.45">
      <c r="A40" s="136" t="s">
        <v>619</v>
      </c>
      <c r="B40" s="130" t="s">
        <v>319</v>
      </c>
      <c r="C40" s="130" t="s">
        <v>2618</v>
      </c>
      <c r="D40" s="142" t="s">
        <v>66</v>
      </c>
      <c r="E40" s="22" t="s">
        <v>170</v>
      </c>
      <c r="F40" s="22" t="s">
        <v>619</v>
      </c>
      <c r="G40" s="22" t="s">
        <v>319</v>
      </c>
      <c r="H40" s="22"/>
      <c r="I40" s="22" t="s">
        <v>74</v>
      </c>
      <c r="J40" s="22" t="s">
        <v>3254</v>
      </c>
      <c r="K40" s="22"/>
      <c r="L40" s="22" t="s">
        <v>3241</v>
      </c>
      <c r="M40" s="22" t="s">
        <v>327</v>
      </c>
      <c r="N40" s="46"/>
      <c r="O40" s="7"/>
      <c r="P40" s="46">
        <v>38</v>
      </c>
      <c r="Q40" s="76" t="s">
        <v>3255</v>
      </c>
      <c r="R40" t="s">
        <v>3256</v>
      </c>
      <c r="S40" t="str">
        <f t="shared" si="0"/>
        <v>employee_sub_group</v>
      </c>
    </row>
    <row r="41" spans="1:19" ht="14.45">
      <c r="A41" s="136" t="s">
        <v>318</v>
      </c>
      <c r="B41" s="130" t="s">
        <v>319</v>
      </c>
      <c r="C41" s="130" t="s">
        <v>2618</v>
      </c>
      <c r="D41" s="142" t="s">
        <v>66</v>
      </c>
      <c r="E41" s="22" t="s">
        <v>107</v>
      </c>
      <c r="F41" s="22" t="s">
        <v>318</v>
      </c>
      <c r="G41" s="22" t="s">
        <v>319</v>
      </c>
      <c r="H41" s="22"/>
      <c r="I41" s="22" t="s">
        <v>74</v>
      </c>
      <c r="J41" s="22" t="s">
        <v>3257</v>
      </c>
      <c r="K41" s="22"/>
      <c r="L41" s="22" t="s">
        <v>3241</v>
      </c>
      <c r="M41" s="22" t="s">
        <v>327</v>
      </c>
      <c r="N41" s="46"/>
      <c r="O41" s="7"/>
      <c r="P41" s="46">
        <v>39</v>
      </c>
      <c r="Q41" s="76" t="s">
        <v>3258</v>
      </c>
      <c r="R41" t="s">
        <v>3259</v>
      </c>
      <c r="S41" t="str">
        <f t="shared" si="0"/>
        <v>band_level</v>
      </c>
    </row>
    <row r="42" spans="1:19" ht="102" customHeight="1">
      <c r="A42" s="133" t="s">
        <v>3260</v>
      </c>
      <c r="B42" s="129" t="s">
        <v>431</v>
      </c>
      <c r="C42" s="129" t="s">
        <v>2618</v>
      </c>
      <c r="D42" s="139" t="s">
        <v>12</v>
      </c>
      <c r="E42" s="7" t="s">
        <v>2432</v>
      </c>
      <c r="F42" s="7"/>
      <c r="G42" s="7"/>
      <c r="H42" s="7"/>
      <c r="I42" s="7"/>
      <c r="J42" s="50" t="s">
        <v>3261</v>
      </c>
      <c r="K42" s="7"/>
      <c r="L42" s="7" t="s">
        <v>3262</v>
      </c>
      <c r="M42" s="7"/>
      <c r="N42" s="46"/>
      <c r="O42" s="7"/>
      <c r="P42" s="46"/>
      <c r="Q42" s="76"/>
    </row>
    <row r="43" spans="1:19" ht="14.45">
      <c r="A43" s="133" t="s">
        <v>345</v>
      </c>
      <c r="B43" s="129" t="s">
        <v>346</v>
      </c>
      <c r="C43" s="129" t="s">
        <v>2618</v>
      </c>
      <c r="D43" s="139" t="s">
        <v>12</v>
      </c>
      <c r="E43" s="7" t="s">
        <v>2432</v>
      </c>
      <c r="F43" s="7" t="s">
        <v>3263</v>
      </c>
      <c r="G43" s="7" t="s">
        <v>346</v>
      </c>
      <c r="H43" s="7"/>
      <c r="I43" s="7" t="s">
        <v>98</v>
      </c>
      <c r="J43" s="7" t="s">
        <v>3264</v>
      </c>
      <c r="K43" s="7"/>
      <c r="L43" s="7"/>
      <c r="M43" s="7"/>
      <c r="N43" s="46"/>
      <c r="O43" s="7" t="s">
        <v>3265</v>
      </c>
      <c r="P43" s="46">
        <v>40</v>
      </c>
      <c r="Q43" s="76" t="s">
        <v>3266</v>
      </c>
      <c r="R43" t="s">
        <v>3267</v>
      </c>
      <c r="S43" t="str">
        <f>E43</f>
        <v>mds_person</v>
      </c>
    </row>
    <row r="44" spans="1:19" ht="14.45">
      <c r="A44" s="133" t="s">
        <v>1590</v>
      </c>
      <c r="B44" s="129" t="s">
        <v>367</v>
      </c>
      <c r="C44" s="129" t="s">
        <v>2618</v>
      </c>
      <c r="D44" s="139" t="s">
        <v>12</v>
      </c>
      <c r="E44" s="7" t="s">
        <v>2432</v>
      </c>
      <c r="F44" s="7" t="s">
        <v>2204</v>
      </c>
      <c r="G44" s="7" t="s">
        <v>367</v>
      </c>
      <c r="H44" s="7"/>
      <c r="I44" s="7" t="s">
        <v>98</v>
      </c>
      <c r="J44" s="7"/>
      <c r="K44" s="7"/>
      <c r="L44" s="7"/>
      <c r="M44" s="7" t="s">
        <v>368</v>
      </c>
      <c r="N44" s="46"/>
      <c r="O44" s="7" t="s">
        <v>3153</v>
      </c>
      <c r="P44" s="46">
        <v>41</v>
      </c>
      <c r="Q44" s="76" t="s">
        <v>3268</v>
      </c>
      <c r="R44" t="s">
        <v>3269</v>
      </c>
      <c r="S44" t="str">
        <f t="shared" si="0"/>
        <v>mds_person</v>
      </c>
    </row>
    <row r="45" spans="1:19" ht="14.45">
      <c r="A45" s="8" t="s">
        <v>350</v>
      </c>
      <c r="B45" s="144"/>
      <c r="C45" s="144"/>
      <c r="D45" s="8" t="s">
        <v>320</v>
      </c>
      <c r="E45" s="8"/>
      <c r="F45" s="8"/>
      <c r="G45" s="8" t="s">
        <v>351</v>
      </c>
      <c r="H45" s="8">
        <v>100</v>
      </c>
      <c r="I45" s="8" t="s">
        <v>98</v>
      </c>
      <c r="J45" s="8"/>
      <c r="K45" s="8"/>
      <c r="L45" s="8"/>
      <c r="M45" s="8" t="s">
        <v>327</v>
      </c>
      <c r="N45" s="46"/>
      <c r="O45" s="7"/>
      <c r="P45" s="46">
        <v>42</v>
      </c>
      <c r="Q45" s="88" t="s">
        <v>3270</v>
      </c>
      <c r="R45" t="s">
        <v>3271</v>
      </c>
    </row>
    <row r="46" spans="1:19" ht="14.45">
      <c r="A46" s="8" t="s">
        <v>354</v>
      </c>
      <c r="B46" s="8"/>
      <c r="C46" s="8"/>
      <c r="D46" s="8" t="s">
        <v>320</v>
      </c>
      <c r="E46" s="8"/>
      <c r="F46" s="8"/>
      <c r="G46" s="8" t="s">
        <v>351</v>
      </c>
      <c r="H46" s="8">
        <v>100</v>
      </c>
      <c r="I46" s="8" t="s">
        <v>98</v>
      </c>
      <c r="J46" s="8"/>
      <c r="K46" s="8"/>
      <c r="L46" s="8"/>
      <c r="M46" s="8" t="s">
        <v>327</v>
      </c>
      <c r="N46" s="46"/>
      <c r="O46" s="7"/>
      <c r="P46" s="46">
        <v>43</v>
      </c>
      <c r="Q46" s="88" t="s">
        <v>3272</v>
      </c>
      <c r="R46" t="s">
        <v>3273</v>
      </c>
    </row>
    <row r="47" spans="1:19" ht="14.45">
      <c r="A47" s="8" t="s">
        <v>357</v>
      </c>
      <c r="B47" s="8"/>
      <c r="C47" s="8"/>
      <c r="D47" s="8" t="s">
        <v>320</v>
      </c>
      <c r="E47" s="8"/>
      <c r="F47" s="8"/>
      <c r="G47" s="8" t="s">
        <v>351</v>
      </c>
      <c r="H47" s="8">
        <v>100</v>
      </c>
      <c r="I47" s="8" t="s">
        <v>98</v>
      </c>
      <c r="J47" s="8"/>
      <c r="K47" s="8"/>
      <c r="L47" s="8"/>
      <c r="M47" s="8" t="s">
        <v>327</v>
      </c>
      <c r="N47" s="46"/>
      <c r="O47" s="7"/>
      <c r="P47" s="46">
        <v>44</v>
      </c>
      <c r="Q47" s="88" t="s">
        <v>3274</v>
      </c>
      <c r="R47" t="s">
        <v>3275</v>
      </c>
    </row>
    <row r="48" spans="1:19" ht="14.45">
      <c r="A48" s="8" t="s">
        <v>360</v>
      </c>
      <c r="B48" s="8"/>
      <c r="C48" s="8"/>
      <c r="D48" s="8" t="s">
        <v>320</v>
      </c>
      <c r="E48" s="8"/>
      <c r="F48" s="8"/>
      <c r="G48" s="8" t="s">
        <v>351</v>
      </c>
      <c r="H48" s="8">
        <v>100</v>
      </c>
      <c r="I48" s="8" t="s">
        <v>98</v>
      </c>
      <c r="J48" s="8"/>
      <c r="K48" s="8"/>
      <c r="L48" s="8"/>
      <c r="M48" s="8" t="s">
        <v>327</v>
      </c>
      <c r="N48" s="46"/>
      <c r="O48" s="7"/>
      <c r="P48" s="46">
        <v>45</v>
      </c>
      <c r="Q48" s="88" t="s">
        <v>3276</v>
      </c>
      <c r="R48" t="s">
        <v>3277</v>
      </c>
    </row>
    <row r="49" spans="1:18" ht="14.45">
      <c r="A49" s="8" t="s">
        <v>363</v>
      </c>
      <c r="B49" s="8"/>
      <c r="C49" s="8"/>
      <c r="D49" s="8" t="s">
        <v>320</v>
      </c>
      <c r="E49" s="8"/>
      <c r="F49" s="8"/>
      <c r="G49" s="8" t="s">
        <v>351</v>
      </c>
      <c r="H49" s="8">
        <v>100</v>
      </c>
      <c r="I49" s="8" t="s">
        <v>98</v>
      </c>
      <c r="J49" s="8"/>
      <c r="K49" s="8"/>
      <c r="L49" s="8"/>
      <c r="M49" s="8" t="s">
        <v>327</v>
      </c>
      <c r="N49" s="46"/>
      <c r="O49" s="7"/>
      <c r="P49" s="46">
        <v>46</v>
      </c>
      <c r="Q49" s="88" t="s">
        <v>3278</v>
      </c>
      <c r="R49" t="s">
        <v>3279</v>
      </c>
    </row>
    <row r="50" spans="1:18" ht="14.45">
      <c r="A50" s="8" t="s">
        <v>366</v>
      </c>
      <c r="B50" s="8"/>
      <c r="C50" s="8"/>
      <c r="D50" s="8" t="s">
        <v>320</v>
      </c>
      <c r="E50" s="8"/>
      <c r="F50" s="8"/>
      <c r="G50" s="8" t="s">
        <v>367</v>
      </c>
      <c r="H50" s="8"/>
      <c r="I50" s="8" t="s">
        <v>98</v>
      </c>
      <c r="J50" s="8"/>
      <c r="K50" s="8"/>
      <c r="L50" s="8"/>
      <c r="M50" s="8" t="s">
        <v>368</v>
      </c>
      <c r="N50" s="46"/>
      <c r="O50" s="7"/>
      <c r="P50" s="46">
        <v>47</v>
      </c>
      <c r="Q50" s="88" t="s">
        <v>3280</v>
      </c>
      <c r="R50" t="s">
        <v>3281</v>
      </c>
    </row>
    <row r="51" spans="1:18" ht="14.45">
      <c r="A51" s="8" t="s">
        <v>371</v>
      </c>
      <c r="B51" s="8"/>
      <c r="C51" s="8"/>
      <c r="D51" s="8" t="s">
        <v>320</v>
      </c>
      <c r="E51" s="8"/>
      <c r="F51" s="8"/>
      <c r="G51" s="8" t="s">
        <v>367</v>
      </c>
      <c r="H51" s="8"/>
      <c r="I51" s="8" t="s">
        <v>98</v>
      </c>
      <c r="J51" s="8"/>
      <c r="K51" s="8"/>
      <c r="L51" s="8"/>
      <c r="M51" s="8" t="s">
        <v>368</v>
      </c>
      <c r="N51" s="46"/>
      <c r="O51" s="7"/>
      <c r="P51" s="46">
        <v>48</v>
      </c>
      <c r="Q51" s="88" t="s">
        <v>3282</v>
      </c>
      <c r="R51" t="s">
        <v>3283</v>
      </c>
    </row>
    <row r="52" spans="1:18" ht="14.45">
      <c r="A52" s="8" t="s">
        <v>374</v>
      </c>
      <c r="B52" s="8"/>
      <c r="C52" s="8"/>
      <c r="D52" s="8" t="s">
        <v>320</v>
      </c>
      <c r="E52" s="8"/>
      <c r="F52" s="8"/>
      <c r="G52" s="8" t="s">
        <v>351</v>
      </c>
      <c r="H52" s="8">
        <v>100</v>
      </c>
      <c r="I52" s="8" t="s">
        <v>98</v>
      </c>
      <c r="J52" s="8"/>
      <c r="K52" s="8"/>
      <c r="L52" s="8"/>
      <c r="M52" s="8" t="s">
        <v>327</v>
      </c>
      <c r="N52" s="46"/>
      <c r="O52" s="7"/>
      <c r="P52" s="46">
        <v>49</v>
      </c>
      <c r="Q52" s="88" t="s">
        <v>3284</v>
      </c>
      <c r="R52" t="s">
        <v>3285</v>
      </c>
    </row>
    <row r="54" spans="1:18" ht="14.45">
      <c r="A54" s="40" t="s">
        <v>3286</v>
      </c>
      <c r="B54" s="40"/>
      <c r="C54" s="40"/>
    </row>
    <row r="55" spans="1:18" ht="14.45">
      <c r="A55" t="s">
        <v>3287</v>
      </c>
    </row>
    <row r="56" spans="1:18" ht="14.45">
      <c r="A56" s="89" t="s">
        <v>3288</v>
      </c>
      <c r="B56" s="89"/>
      <c r="C56" s="89"/>
    </row>
    <row r="57" spans="1:18" ht="14.45">
      <c r="A57" s="89"/>
      <c r="B57" s="89"/>
      <c r="C57" s="89"/>
    </row>
    <row r="58" spans="1:18" ht="14.45">
      <c r="A58" s="21" t="s">
        <v>2864</v>
      </c>
      <c r="B58" s="21"/>
      <c r="C58" s="21"/>
    </row>
    <row r="59" spans="1:18" ht="14.45">
      <c r="A59" t="s">
        <v>3289</v>
      </c>
    </row>
    <row r="60" spans="1:18" ht="14.45">
      <c r="A60" t="s">
        <v>3290</v>
      </c>
    </row>
    <row r="61" spans="1:18" ht="14.45">
      <c r="A61" t="s">
        <v>3291</v>
      </c>
    </row>
    <row r="62" spans="1:18" ht="14.45">
      <c r="A62" s="89" t="s">
        <v>3292</v>
      </c>
      <c r="B62" s="89"/>
      <c r="C62" s="89"/>
    </row>
    <row r="63" spans="1:18" ht="14.45">
      <c r="A63" s="89"/>
      <c r="B63" s="89"/>
      <c r="C63" s="89"/>
    </row>
    <row r="64" spans="1:18" ht="14.45">
      <c r="A64" s="21" t="s">
        <v>1032</v>
      </c>
      <c r="B64" s="21"/>
      <c r="C64" s="21"/>
    </row>
    <row r="65" spans="1:1" ht="14.45">
      <c r="A65" t="s">
        <v>2869</v>
      </c>
    </row>
    <row r="66" spans="1:1" ht="14.45">
      <c r="A66" t="s">
        <v>3293</v>
      </c>
    </row>
    <row r="67" spans="1:1" ht="14.45">
      <c r="A67" t="s">
        <v>3294</v>
      </c>
    </row>
    <row r="68" spans="1:1" ht="14.45">
      <c r="A68" t="s">
        <v>3295</v>
      </c>
    </row>
    <row r="69" spans="1:1" ht="14.45">
      <c r="A69" t="s">
        <v>3296</v>
      </c>
    </row>
    <row r="70" spans="1:1" ht="14.45">
      <c r="A70" t="s">
        <v>3297</v>
      </c>
    </row>
    <row r="71" spans="1:1" ht="14.45">
      <c r="A71" t="s">
        <v>3298</v>
      </c>
    </row>
    <row r="72" spans="1:1" ht="14.45">
      <c r="A72" t="s">
        <v>2988</v>
      </c>
    </row>
    <row r="73" spans="1:1" ht="14.45">
      <c r="A73" t="s">
        <v>3299</v>
      </c>
    </row>
    <row r="74" spans="1:1" ht="14.45">
      <c r="A74" t="s">
        <v>3300</v>
      </c>
    </row>
    <row r="76" spans="1:1" ht="14.45">
      <c r="A76" t="s">
        <v>2873</v>
      </c>
    </row>
    <row r="77" spans="1:1" ht="14.45">
      <c r="A77" t="s">
        <v>3301</v>
      </c>
    </row>
    <row r="78" spans="1:1" ht="14.45">
      <c r="A78" t="s">
        <v>3302</v>
      </c>
    </row>
    <row r="79" spans="1:1" ht="14.45">
      <c r="A79" t="s">
        <v>3303</v>
      </c>
    </row>
    <row r="81" spans="1:3" ht="14.45">
      <c r="A81" t="s">
        <v>2886</v>
      </c>
    </row>
    <row r="82" spans="1:3" ht="14.45">
      <c r="A82" t="s">
        <v>3304</v>
      </c>
    </row>
    <row r="84" spans="1:3" ht="14.45">
      <c r="A84" t="s">
        <v>2888</v>
      </c>
    </row>
    <row r="85" spans="1:3" ht="14.45">
      <c r="A85" t="s">
        <v>3305</v>
      </c>
    </row>
    <row r="86" spans="1:3" ht="14.45">
      <c r="A86" t="s">
        <v>3306</v>
      </c>
    </row>
    <row r="87" spans="1:3" ht="14.45">
      <c r="A87" t="s">
        <v>3307</v>
      </c>
    </row>
    <row r="88" spans="1:3" ht="14.45">
      <c r="A88" t="s">
        <v>3308</v>
      </c>
    </row>
    <row r="89" spans="1:3" ht="14.45">
      <c r="A89" t="s">
        <v>3309</v>
      </c>
    </row>
    <row r="90" spans="1:3" ht="14.45">
      <c r="A90" t="s">
        <v>3310</v>
      </c>
    </row>
    <row r="92" spans="1:3" ht="14.45">
      <c r="A92" s="21" t="s">
        <v>1698</v>
      </c>
      <c r="B92" s="21"/>
      <c r="C92" s="21"/>
    </row>
    <row r="93" spans="1:3" ht="14.45">
      <c r="A93" s="36" t="s">
        <v>3073</v>
      </c>
      <c r="B93" s="36"/>
      <c r="C93" s="36"/>
    </row>
    <row r="95" spans="1:3" ht="14.45">
      <c r="A95" s="88"/>
      <c r="B95" s="88"/>
      <c r="C95" s="88"/>
    </row>
  </sheetData>
  <autoFilter ref="A2:T2" xr:uid="{00000000-0001-0000-1B00-000000000000}"/>
  <conditionalFormatting sqref="Q3:Q32">
    <cfRule type="duplicateValues" dxfId="13" priority="7"/>
  </conditionalFormatting>
  <conditionalFormatting sqref="Q35:Q52">
    <cfRule type="duplicateValues" dxfId="12" priority="6"/>
  </conditionalFormatting>
  <conditionalFormatting sqref="Q3:Q52">
    <cfRule type="expression" dxfId="11" priority="1">
      <formula>$L3="Y"</formula>
    </cfRule>
    <cfRule type="expression" dxfId="10" priority="2">
      <formula>$J3="Foreign"</formula>
    </cfRule>
    <cfRule type="expression" dxfId="9" priority="3">
      <formula>$J3="Business"</formula>
    </cfRule>
    <cfRule type="expression" dxfId="8" priority="4">
      <formula>$J3="Primary"</formula>
    </cfRule>
  </conditionalFormatting>
  <conditionalFormatting sqref="Q3:Q52">
    <cfRule type="duplicateValues" dxfId="7" priority="420"/>
  </conditionalFormatting>
  <hyperlinks>
    <hyperlink ref="A93" location="'Employees to Migrate'!A1" display="See Employees to Migrate sheet" xr:uid="{6CE10959-FC10-43B3-8CF8-A5DDC324D2A6}"/>
  </hyperlinks>
  <pageMargins left="0.7" right="0.7" top="0.75" bottom="0.75" header="0.3" footer="0.3"/>
  <legacy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E3738-7A08-4938-9EC3-54EE105001FC}">
  <sheetPr>
    <tabColor rgb="FFFFC000"/>
  </sheetPr>
  <dimension ref="A1"/>
  <sheetViews>
    <sheetView topLeftCell="A4" workbookViewId="0">
      <selection activeCell="V18" sqref="V18"/>
    </sheetView>
  </sheetViews>
  <sheetFormatPr defaultRowHeight="14.45"/>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BC909-35B5-49B6-ACAE-05165F15C6F4}">
  <sheetPr codeName="Sheet52">
    <tabColor rgb="FF00B0F0"/>
  </sheetPr>
  <dimension ref="A1:R32"/>
  <sheetViews>
    <sheetView workbookViewId="0">
      <pane ySplit="2" topLeftCell="A3" activePane="bottomLeft" state="frozen"/>
      <selection pane="bottomLeft" activeCell="B44" sqref="B44"/>
      <selection activeCell="A3" sqref="A3"/>
    </sheetView>
  </sheetViews>
  <sheetFormatPr defaultRowHeight="15" customHeight="1"/>
  <cols>
    <col min="1" max="1" width="74" customWidth="1"/>
    <col min="2" max="2" width="18" customWidth="1"/>
    <col min="3" max="3" width="15.7109375" customWidth="1"/>
    <col min="4" max="4" width="20.7109375" customWidth="1"/>
    <col min="5" max="5" width="28.5703125" customWidth="1"/>
    <col min="6" max="6" width="20.7109375" customWidth="1"/>
    <col min="7" max="9" width="15.7109375" customWidth="1"/>
    <col min="10" max="11" width="20.7109375" customWidth="1"/>
    <col min="12" max="12" width="61.5703125" customWidth="1"/>
    <col min="13" max="13" width="20.7109375" customWidth="1"/>
    <col min="14" max="14" width="15.7109375" bestFit="1" customWidth="1"/>
    <col min="15" max="15" width="39.28515625" customWidth="1"/>
    <col min="16" max="16" width="17.28515625" bestFit="1" customWidth="1"/>
    <col min="17" max="17" width="37.85546875" bestFit="1" customWidth="1"/>
    <col min="18" max="18" width="49.28515625" bestFit="1" customWidth="1"/>
  </cols>
  <sheetData>
    <row r="1" spans="1:18" ht="60" customHeight="1">
      <c r="A1" s="1" t="s">
        <v>3311</v>
      </c>
      <c r="B1" s="1"/>
      <c r="C1" s="1"/>
      <c r="F1" s="2" t="s">
        <v>297</v>
      </c>
      <c r="K1" s="3" t="s">
        <v>298</v>
      </c>
      <c r="L1" s="4" t="s">
        <v>299</v>
      </c>
      <c r="M1" s="19" t="s">
        <v>300</v>
      </c>
      <c r="N1" s="23" t="s">
        <v>301</v>
      </c>
    </row>
    <row r="2" spans="1:18" ht="14.45">
      <c r="A2" s="5" t="s">
        <v>302</v>
      </c>
      <c r="B2" s="5" t="s">
        <v>303</v>
      </c>
      <c r="C2" s="5" t="s">
        <v>304</v>
      </c>
      <c r="D2" s="5" t="s">
        <v>85</v>
      </c>
      <c r="E2" s="5" t="s">
        <v>305</v>
      </c>
      <c r="F2" s="5" t="s">
        <v>306</v>
      </c>
      <c r="G2" s="5" t="s">
        <v>307</v>
      </c>
      <c r="H2" s="5" t="s">
        <v>308</v>
      </c>
      <c r="I2" s="5" t="s">
        <v>309</v>
      </c>
      <c r="J2" s="5" t="s">
        <v>310</v>
      </c>
      <c r="K2" s="5" t="s">
        <v>311</v>
      </c>
      <c r="L2" s="5" t="s">
        <v>90</v>
      </c>
      <c r="M2" s="5" t="s">
        <v>312</v>
      </c>
      <c r="N2" s="48" t="s">
        <v>313</v>
      </c>
      <c r="O2" s="47" t="s">
        <v>314</v>
      </c>
      <c r="P2" s="48" t="s">
        <v>315</v>
      </c>
      <c r="Q2" s="48" t="s">
        <v>316</v>
      </c>
      <c r="R2" s="78" t="s">
        <v>317</v>
      </c>
    </row>
    <row r="3" spans="1:18" ht="14.45">
      <c r="A3" s="6" t="s">
        <v>3312</v>
      </c>
      <c r="B3" s="6" t="s">
        <v>319</v>
      </c>
      <c r="C3" s="6"/>
      <c r="D3" s="6" t="s">
        <v>320</v>
      </c>
      <c r="E3" s="6"/>
      <c r="F3" s="6"/>
      <c r="G3" s="6" t="s">
        <v>319</v>
      </c>
      <c r="H3" s="6"/>
      <c r="I3" s="6" t="s">
        <v>98</v>
      </c>
      <c r="J3" s="6" t="s">
        <v>321</v>
      </c>
      <c r="K3" s="6"/>
      <c r="L3" s="6"/>
      <c r="M3" s="6">
        <v>-1</v>
      </c>
      <c r="N3" s="46"/>
      <c r="O3" s="7"/>
      <c r="P3" s="46"/>
      <c r="Q3" s="88"/>
    </row>
    <row r="4" spans="1:18" ht="14.45">
      <c r="A4" s="9" t="s">
        <v>3313</v>
      </c>
      <c r="B4" s="9" t="s">
        <v>431</v>
      </c>
      <c r="C4" s="9"/>
      <c r="D4" s="9" t="s">
        <v>52</v>
      </c>
      <c r="E4" s="9" t="s">
        <v>2829</v>
      </c>
      <c r="F4" s="9" t="s">
        <v>3314</v>
      </c>
      <c r="G4" s="9" t="s">
        <v>431</v>
      </c>
      <c r="H4" s="9"/>
      <c r="I4" s="9" t="s">
        <v>98</v>
      </c>
      <c r="J4" s="9"/>
      <c r="K4" s="9"/>
      <c r="L4" s="9"/>
      <c r="M4" s="9">
        <v>-1</v>
      </c>
      <c r="N4" s="46"/>
      <c r="O4" s="7"/>
      <c r="P4" s="46"/>
      <c r="Q4" s="88"/>
    </row>
    <row r="5" spans="1:18" ht="14.45">
      <c r="A5" s="9" t="s">
        <v>3315</v>
      </c>
      <c r="B5" s="9" t="s">
        <v>351</v>
      </c>
      <c r="C5" s="9">
        <v>10</v>
      </c>
      <c r="D5" s="9" t="s">
        <v>52</v>
      </c>
      <c r="E5" s="9" t="s">
        <v>2829</v>
      </c>
      <c r="F5" s="9" t="s">
        <v>3316</v>
      </c>
      <c r="G5" s="9" t="s">
        <v>351</v>
      </c>
      <c r="H5" s="9">
        <v>10</v>
      </c>
      <c r="I5" s="9" t="s">
        <v>98</v>
      </c>
      <c r="J5" s="9"/>
      <c r="K5" s="9"/>
      <c r="L5" s="9"/>
      <c r="M5" s="9">
        <v>-1</v>
      </c>
      <c r="N5" s="46"/>
      <c r="O5" s="7"/>
      <c r="P5" s="46"/>
      <c r="Q5" s="76"/>
      <c r="R5" s="76"/>
    </row>
    <row r="6" spans="1:18" ht="14.45">
      <c r="A6" s="22" t="s">
        <v>1235</v>
      </c>
      <c r="B6" s="22" t="s">
        <v>319</v>
      </c>
      <c r="C6" s="22"/>
      <c r="D6" s="22" t="s">
        <v>52</v>
      </c>
      <c r="E6" s="22" t="s">
        <v>2829</v>
      </c>
      <c r="F6" s="22" t="s">
        <v>1621</v>
      </c>
      <c r="G6" s="22" t="s">
        <v>351</v>
      </c>
      <c r="H6" s="22">
        <v>100</v>
      </c>
      <c r="I6" s="22" t="s">
        <v>98</v>
      </c>
      <c r="J6" s="22" t="s">
        <v>3317</v>
      </c>
      <c r="K6" s="22"/>
      <c r="L6" s="22"/>
      <c r="M6" s="22"/>
      <c r="N6" s="46"/>
      <c r="O6" s="7"/>
      <c r="P6" s="46"/>
      <c r="Q6" s="76"/>
      <c r="R6" s="76"/>
    </row>
    <row r="7" spans="1:18" ht="14.45">
      <c r="A7" s="22" t="s">
        <v>1248</v>
      </c>
      <c r="B7" s="22" t="s">
        <v>319</v>
      </c>
      <c r="C7" s="22"/>
      <c r="D7" s="22" t="s">
        <v>52</v>
      </c>
      <c r="E7" s="22" t="s">
        <v>2829</v>
      </c>
      <c r="F7" s="22" t="s">
        <v>1868</v>
      </c>
      <c r="G7" s="22" t="s">
        <v>351</v>
      </c>
      <c r="H7" s="22">
        <v>100</v>
      </c>
      <c r="I7" s="22" t="s">
        <v>74</v>
      </c>
      <c r="J7" s="22" t="s">
        <v>3318</v>
      </c>
      <c r="K7" s="22"/>
      <c r="L7" s="22"/>
      <c r="M7" s="22"/>
      <c r="N7" s="46"/>
      <c r="O7" s="7"/>
      <c r="P7" s="46"/>
      <c r="Q7" s="76"/>
      <c r="R7" s="76"/>
    </row>
    <row r="8" spans="1:18" ht="14.45">
      <c r="A8" s="84" t="s">
        <v>1292</v>
      </c>
      <c r="B8" s="84" t="s">
        <v>319</v>
      </c>
      <c r="C8" s="84"/>
      <c r="D8" s="84" t="s">
        <v>52</v>
      </c>
      <c r="E8" s="84" t="s">
        <v>2829</v>
      </c>
      <c r="F8" s="84" t="s">
        <v>3319</v>
      </c>
      <c r="G8" s="84" t="s">
        <v>351</v>
      </c>
      <c r="H8" s="84">
        <v>100</v>
      </c>
      <c r="I8" s="84" t="s">
        <v>98</v>
      </c>
      <c r="J8" s="84" t="s">
        <v>3320</v>
      </c>
      <c r="K8" s="84"/>
      <c r="L8" s="84"/>
      <c r="M8" s="84"/>
      <c r="N8" s="46"/>
      <c r="O8" s="7"/>
      <c r="P8" s="46"/>
      <c r="Q8" s="76"/>
      <c r="R8" s="76"/>
    </row>
    <row r="9" spans="1:18" ht="14.45">
      <c r="A9" s="7" t="s">
        <v>3321</v>
      </c>
      <c r="B9" s="7" t="s">
        <v>351</v>
      </c>
      <c r="C9" s="7">
        <v>100</v>
      </c>
      <c r="D9" s="7" t="s">
        <v>52</v>
      </c>
      <c r="E9" s="7" t="s">
        <v>2829</v>
      </c>
      <c r="F9" s="7" t="s">
        <v>3322</v>
      </c>
      <c r="G9" s="7" t="s">
        <v>351</v>
      </c>
      <c r="H9" s="7">
        <v>50</v>
      </c>
      <c r="I9" s="7" t="s">
        <v>98</v>
      </c>
      <c r="J9" s="7"/>
      <c r="K9" s="7"/>
      <c r="L9" s="7"/>
      <c r="M9" s="7"/>
      <c r="N9" s="46"/>
      <c r="O9" s="7"/>
      <c r="P9" s="46"/>
      <c r="Q9" s="76"/>
      <c r="R9" s="76"/>
    </row>
    <row r="10" spans="1:18" ht="14.45">
      <c r="A10" s="7" t="s">
        <v>1590</v>
      </c>
      <c r="B10" s="7" t="s">
        <v>367</v>
      </c>
      <c r="C10" s="7"/>
      <c r="D10" s="7" t="s">
        <v>52</v>
      </c>
      <c r="E10" s="7" t="s">
        <v>2829</v>
      </c>
      <c r="F10" s="7" t="s">
        <v>3323</v>
      </c>
      <c r="G10" s="7" t="s">
        <v>367</v>
      </c>
      <c r="H10" s="7"/>
      <c r="I10" s="7" t="s">
        <v>98</v>
      </c>
      <c r="J10" s="7"/>
      <c r="K10" s="7"/>
      <c r="L10" s="7"/>
      <c r="M10" s="7" t="s">
        <v>368</v>
      </c>
      <c r="N10" s="46"/>
      <c r="O10" s="7"/>
      <c r="P10" s="46"/>
      <c r="Q10" s="76"/>
      <c r="R10" s="76"/>
    </row>
    <row r="11" spans="1:18" ht="14.45">
      <c r="A11" s="8" t="s">
        <v>350</v>
      </c>
      <c r="B11" s="8"/>
      <c r="C11" s="8"/>
      <c r="D11" s="8" t="s">
        <v>320</v>
      </c>
      <c r="E11" s="8"/>
      <c r="F11" s="8"/>
      <c r="G11" s="8" t="s">
        <v>351</v>
      </c>
      <c r="H11" s="8">
        <v>100</v>
      </c>
      <c r="I11" s="8" t="s">
        <v>98</v>
      </c>
      <c r="J11" s="8"/>
      <c r="K11" s="8"/>
      <c r="L11" s="8"/>
      <c r="M11" s="8" t="s">
        <v>327</v>
      </c>
      <c r="N11" s="46"/>
      <c r="O11" s="7"/>
      <c r="P11" s="46"/>
      <c r="Q11" s="88"/>
      <c r="R11" s="76"/>
    </row>
    <row r="12" spans="1:18" ht="14.45">
      <c r="A12" s="8" t="s">
        <v>354</v>
      </c>
      <c r="B12" s="8"/>
      <c r="C12" s="8"/>
      <c r="D12" s="8" t="s">
        <v>320</v>
      </c>
      <c r="E12" s="8"/>
      <c r="F12" s="8"/>
      <c r="G12" s="8" t="s">
        <v>351</v>
      </c>
      <c r="H12" s="8">
        <v>100</v>
      </c>
      <c r="I12" s="8" t="s">
        <v>98</v>
      </c>
      <c r="J12" s="8"/>
      <c r="K12" s="8"/>
      <c r="L12" s="8"/>
      <c r="M12" s="8" t="s">
        <v>327</v>
      </c>
      <c r="N12" s="46"/>
      <c r="O12" s="7"/>
      <c r="P12" s="46"/>
      <c r="Q12" s="88"/>
      <c r="R12" s="76"/>
    </row>
    <row r="13" spans="1:18" ht="14.45">
      <c r="A13" s="8" t="s">
        <v>357</v>
      </c>
      <c r="B13" s="8"/>
      <c r="C13" s="8"/>
      <c r="D13" s="8" t="s">
        <v>320</v>
      </c>
      <c r="E13" s="8"/>
      <c r="F13" s="8"/>
      <c r="G13" s="8" t="s">
        <v>351</v>
      </c>
      <c r="H13" s="8">
        <v>100</v>
      </c>
      <c r="I13" s="8" t="s">
        <v>98</v>
      </c>
      <c r="J13" s="8"/>
      <c r="K13" s="8"/>
      <c r="L13" s="8"/>
      <c r="M13" s="8" t="s">
        <v>327</v>
      </c>
      <c r="N13" s="46"/>
      <c r="O13" s="7"/>
      <c r="P13" s="46"/>
      <c r="Q13" s="88"/>
      <c r="R13" s="76"/>
    </row>
    <row r="14" spans="1:18" ht="14.45">
      <c r="A14" s="8" t="s">
        <v>360</v>
      </c>
      <c r="B14" s="8"/>
      <c r="C14" s="8"/>
      <c r="D14" s="8" t="s">
        <v>320</v>
      </c>
      <c r="E14" s="8"/>
      <c r="F14" s="8"/>
      <c r="G14" s="8" t="s">
        <v>351</v>
      </c>
      <c r="H14" s="8">
        <v>100</v>
      </c>
      <c r="I14" s="8" t="s">
        <v>98</v>
      </c>
      <c r="J14" s="8"/>
      <c r="K14" s="8"/>
      <c r="L14" s="8"/>
      <c r="M14" s="8" t="s">
        <v>327</v>
      </c>
      <c r="N14" s="46"/>
      <c r="O14" s="7"/>
      <c r="P14" s="46"/>
      <c r="Q14" s="88"/>
    </row>
    <row r="15" spans="1:18" ht="14.45">
      <c r="A15" s="8" t="s">
        <v>363</v>
      </c>
      <c r="B15" s="8"/>
      <c r="C15" s="8"/>
      <c r="D15" s="8" t="s">
        <v>320</v>
      </c>
      <c r="E15" s="8"/>
      <c r="F15" s="8"/>
      <c r="G15" s="8" t="s">
        <v>351</v>
      </c>
      <c r="H15" s="8">
        <v>100</v>
      </c>
      <c r="I15" s="8" t="s">
        <v>98</v>
      </c>
      <c r="J15" s="8"/>
      <c r="K15" s="8"/>
      <c r="L15" s="8"/>
      <c r="M15" s="8" t="s">
        <v>327</v>
      </c>
      <c r="N15" s="46"/>
      <c r="O15" s="7"/>
      <c r="P15" s="46"/>
      <c r="Q15" s="88"/>
    </row>
    <row r="16" spans="1:18" ht="14.45">
      <c r="A16" s="8" t="s">
        <v>366</v>
      </c>
      <c r="B16" s="8"/>
      <c r="C16" s="8"/>
      <c r="D16" s="8" t="s">
        <v>320</v>
      </c>
      <c r="E16" s="8"/>
      <c r="F16" s="8"/>
      <c r="G16" s="8" t="s">
        <v>367</v>
      </c>
      <c r="H16" s="8"/>
      <c r="I16" s="8" t="s">
        <v>98</v>
      </c>
      <c r="J16" s="8"/>
      <c r="K16" s="8"/>
      <c r="L16" s="8"/>
      <c r="M16" s="8" t="s">
        <v>368</v>
      </c>
      <c r="N16" s="46"/>
      <c r="O16" s="7"/>
      <c r="P16" s="46"/>
      <c r="Q16" s="88"/>
    </row>
    <row r="17" spans="1:17" ht="14.45">
      <c r="A17" s="8" t="s">
        <v>371</v>
      </c>
      <c r="B17" s="8"/>
      <c r="C17" s="8"/>
      <c r="D17" s="8" t="s">
        <v>320</v>
      </c>
      <c r="E17" s="8"/>
      <c r="F17" s="8"/>
      <c r="G17" s="8" t="s">
        <v>367</v>
      </c>
      <c r="H17" s="8"/>
      <c r="I17" s="8" t="s">
        <v>98</v>
      </c>
      <c r="J17" s="8"/>
      <c r="K17" s="8"/>
      <c r="L17" s="8"/>
      <c r="M17" s="8" t="s">
        <v>368</v>
      </c>
      <c r="N17" s="46"/>
      <c r="O17" s="7"/>
      <c r="P17" s="46"/>
      <c r="Q17" s="88"/>
    </row>
    <row r="18" spans="1:17" ht="14.45">
      <c r="A18" s="8" t="s">
        <v>374</v>
      </c>
      <c r="B18" s="8"/>
      <c r="C18" s="8"/>
      <c r="D18" s="8" t="s">
        <v>320</v>
      </c>
      <c r="E18" s="8"/>
      <c r="F18" s="8"/>
      <c r="G18" s="8" t="s">
        <v>351</v>
      </c>
      <c r="H18" s="8">
        <v>100</v>
      </c>
      <c r="I18" s="8" t="s">
        <v>98</v>
      </c>
      <c r="J18" s="8"/>
      <c r="K18" s="8"/>
      <c r="L18" s="8"/>
      <c r="M18" s="8" t="s">
        <v>327</v>
      </c>
      <c r="N18" s="46"/>
      <c r="O18" s="7"/>
      <c r="P18" s="46"/>
      <c r="Q18" s="88"/>
    </row>
    <row r="21" spans="1:17" ht="14.45">
      <c r="A21" s="21" t="s">
        <v>1032</v>
      </c>
      <c r="B21" s="21"/>
      <c r="C21" s="21"/>
    </row>
    <row r="22" spans="1:17" ht="14.45">
      <c r="A22" t="s">
        <v>3324</v>
      </c>
    </row>
    <row r="23" spans="1:17" ht="14.45">
      <c r="A23" t="s">
        <v>3325</v>
      </c>
    </row>
    <row r="24" spans="1:17" ht="14.45">
      <c r="A24" t="s">
        <v>3326</v>
      </c>
    </row>
    <row r="25" spans="1:17" ht="14.45"/>
    <row r="26" spans="1:17" ht="14.45"/>
    <row r="28" spans="1:17" ht="14.45">
      <c r="A28" s="21" t="s">
        <v>1698</v>
      </c>
      <c r="B28" s="21"/>
      <c r="C28" s="21"/>
    </row>
    <row r="29" spans="1:17" ht="72.599999999999994">
      <c r="A29" s="115" t="s">
        <v>3327</v>
      </c>
      <c r="B29" s="115"/>
      <c r="C29" s="115"/>
    </row>
    <row r="30" spans="1:17" ht="14.45">
      <c r="A30" s="36"/>
      <c r="B30" s="36"/>
      <c r="C30" s="36"/>
    </row>
    <row r="31" spans="1:17" ht="14.45"/>
    <row r="32" spans="1:17" ht="15" customHeight="1">
      <c r="A32" s="88"/>
      <c r="B32" s="88"/>
      <c r="C32" s="88"/>
    </row>
  </sheetData>
  <conditionalFormatting sqref="Q3:Q18">
    <cfRule type="expression" dxfId="6" priority="1">
      <formula>$L3="Y"</formula>
    </cfRule>
    <cfRule type="expression" dxfId="5" priority="2">
      <formula>$J3="Foreign"</formula>
    </cfRule>
    <cfRule type="expression" dxfId="4" priority="3">
      <formula>$J3="Business"</formula>
    </cfRule>
    <cfRule type="expression" dxfId="3" priority="4">
      <formula>$J3="Primary"</formula>
    </cfRule>
  </conditionalFormatting>
  <conditionalFormatting sqref="Q3:Q4">
    <cfRule type="duplicateValues" dxfId="2" priority="400"/>
  </conditionalFormatting>
  <conditionalFormatting sqref="Q5:Q18">
    <cfRule type="duplicateValues" dxfId="1" priority="416"/>
  </conditionalFormatting>
  <conditionalFormatting sqref="Q3:Q18">
    <cfRule type="duplicateValues" dxfId="0" priority="418"/>
  </conditionalFormatting>
  <pageMargins left="0.7" right="0.7" top="0.75" bottom="0.75" header="0.3" footer="0.3"/>
  <legacy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FF0000"/>
  </sheetPr>
  <dimension ref="A1:Q27"/>
  <sheetViews>
    <sheetView workbookViewId="0">
      <pane xSplit="1" ySplit="2" topLeftCell="B3" activePane="bottomRight" state="frozen"/>
      <selection pane="bottomRight" activeCell="A6" sqref="A6"/>
      <selection pane="bottomLeft" activeCell="A3" sqref="A3"/>
      <selection pane="topRight" activeCell="B1" sqref="B1"/>
    </sheetView>
  </sheetViews>
  <sheetFormatPr defaultRowHeight="14.45"/>
  <cols>
    <col min="1" max="1" width="32.85546875" customWidth="1"/>
    <col min="2" max="4" width="20.7109375" customWidth="1"/>
    <col min="5" max="7" width="15.7109375" customWidth="1"/>
    <col min="8" max="12" width="20.7109375" customWidth="1"/>
    <col min="13" max="13" width="39.28515625" customWidth="1"/>
    <col min="14" max="14" width="17.28515625" bestFit="1" customWidth="1"/>
    <col min="15" max="15" width="38.28515625" bestFit="1" customWidth="1"/>
    <col min="16" max="16" width="5.42578125" bestFit="1" customWidth="1"/>
    <col min="17" max="17" width="39.85546875" bestFit="1" customWidth="1"/>
  </cols>
  <sheetData>
    <row r="1" spans="1:17" ht="60" customHeight="1">
      <c r="A1" s="1" t="s">
        <v>205</v>
      </c>
      <c r="D1" s="2" t="s">
        <v>297</v>
      </c>
      <c r="I1" s="3" t="s">
        <v>298</v>
      </c>
      <c r="J1" s="4" t="s">
        <v>299</v>
      </c>
      <c r="K1" s="19" t="s">
        <v>300</v>
      </c>
      <c r="L1" s="23" t="s">
        <v>301</v>
      </c>
    </row>
    <row r="2" spans="1:17">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c r="O2" s="48" t="s">
        <v>316</v>
      </c>
      <c r="P2" s="78" t="s">
        <v>3328</v>
      </c>
      <c r="Q2" s="78" t="s">
        <v>317</v>
      </c>
    </row>
    <row r="3" spans="1:17">
      <c r="A3" s="6" t="s">
        <v>3329</v>
      </c>
      <c r="B3" s="6" t="s">
        <v>320</v>
      </c>
      <c r="C3" s="6"/>
      <c r="D3" s="6"/>
      <c r="E3" s="6" t="s">
        <v>319</v>
      </c>
      <c r="F3" s="6"/>
      <c r="G3" s="6" t="s">
        <v>98</v>
      </c>
      <c r="H3" s="6" t="s">
        <v>321</v>
      </c>
      <c r="I3" s="6"/>
      <c r="J3" s="6"/>
      <c r="K3" s="6">
        <v>-1</v>
      </c>
      <c r="L3" s="46"/>
      <c r="M3" s="7"/>
      <c r="N3" s="46">
        <v>1</v>
      </c>
    </row>
    <row r="4" spans="1:17">
      <c r="A4" s="27" t="s">
        <v>927</v>
      </c>
      <c r="B4" s="27" t="s">
        <v>12</v>
      </c>
      <c r="C4" s="27" t="s">
        <v>206</v>
      </c>
      <c r="D4" s="27" t="s">
        <v>940</v>
      </c>
      <c r="E4" s="27" t="s">
        <v>431</v>
      </c>
      <c r="F4" s="27"/>
      <c r="G4" s="27" t="s">
        <v>74</v>
      </c>
      <c r="H4" s="27" t="s">
        <v>3330</v>
      </c>
      <c r="I4" s="27"/>
      <c r="J4" s="27"/>
      <c r="K4" s="27">
        <v>-1</v>
      </c>
      <c r="L4" s="46"/>
      <c r="M4" s="7" t="s">
        <v>3331</v>
      </c>
      <c r="N4" s="46">
        <v>2</v>
      </c>
      <c r="O4" s="76" t="s">
        <v>3332</v>
      </c>
      <c r="P4" s="77">
        <v>700</v>
      </c>
      <c r="Q4" s="76" t="s">
        <v>3333</v>
      </c>
    </row>
    <row r="5" spans="1:17">
      <c r="A5" s="27" t="s">
        <v>1248</v>
      </c>
      <c r="B5" s="27" t="s">
        <v>12</v>
      </c>
      <c r="C5" s="27" t="s">
        <v>206</v>
      </c>
      <c r="D5" s="27" t="s">
        <v>2631</v>
      </c>
      <c r="E5" s="27" t="s">
        <v>431</v>
      </c>
      <c r="F5" s="27"/>
      <c r="G5" s="27" t="s">
        <v>74</v>
      </c>
      <c r="H5" s="27" t="s">
        <v>3334</v>
      </c>
      <c r="I5" s="27"/>
      <c r="J5" s="27"/>
      <c r="K5" s="27">
        <v>-1</v>
      </c>
      <c r="L5" s="46"/>
      <c r="M5" s="7" t="s">
        <v>3331</v>
      </c>
      <c r="N5" s="46">
        <v>3</v>
      </c>
      <c r="O5" s="76" t="s">
        <v>3335</v>
      </c>
      <c r="P5" s="77">
        <v>693</v>
      </c>
      <c r="Q5" s="76" t="s">
        <v>3336</v>
      </c>
    </row>
    <row r="6" spans="1:17">
      <c r="A6" t="s">
        <v>487</v>
      </c>
      <c r="B6" t="s">
        <v>12</v>
      </c>
      <c r="C6" s="88" t="s">
        <v>206</v>
      </c>
      <c r="D6" s="88" t="s">
        <v>2155</v>
      </c>
      <c r="E6" t="s">
        <v>351</v>
      </c>
      <c r="K6" t="s">
        <v>327</v>
      </c>
      <c r="O6" t="s">
        <v>3337</v>
      </c>
      <c r="P6">
        <v>699</v>
      </c>
      <c r="Q6" t="s">
        <v>3338</v>
      </c>
    </row>
    <row r="7" spans="1:17">
      <c r="A7" s="7" t="s">
        <v>1590</v>
      </c>
      <c r="B7" s="7" t="s">
        <v>12</v>
      </c>
      <c r="C7" s="7" t="s">
        <v>206</v>
      </c>
      <c r="D7" s="7" t="s">
        <v>2114</v>
      </c>
      <c r="E7" s="7" t="s">
        <v>367</v>
      </c>
      <c r="F7" s="7"/>
      <c r="G7" s="7" t="s">
        <v>74</v>
      </c>
      <c r="H7" s="7"/>
      <c r="I7" s="7"/>
      <c r="J7" s="7"/>
      <c r="K7" s="7" t="s">
        <v>368</v>
      </c>
      <c r="L7" s="46"/>
      <c r="M7" s="7" t="s">
        <v>3339</v>
      </c>
      <c r="N7" s="46">
        <v>6</v>
      </c>
      <c r="O7" s="76" t="s">
        <v>3340</v>
      </c>
      <c r="P7" s="77">
        <v>690</v>
      </c>
      <c r="Q7" s="76" t="s">
        <v>3341</v>
      </c>
    </row>
    <row r="8" spans="1:17">
      <c r="A8" s="8" t="s">
        <v>350</v>
      </c>
      <c r="B8" s="8" t="s">
        <v>320</v>
      </c>
      <c r="C8" s="8"/>
      <c r="D8" s="8"/>
      <c r="E8" s="8" t="s">
        <v>351</v>
      </c>
      <c r="F8" s="8">
        <v>100</v>
      </c>
      <c r="G8" s="8" t="s">
        <v>98</v>
      </c>
      <c r="H8" s="8"/>
      <c r="I8" s="8"/>
      <c r="J8" s="8"/>
      <c r="K8" s="8" t="s">
        <v>327</v>
      </c>
      <c r="L8" s="46"/>
      <c r="M8" s="7"/>
      <c r="N8" s="46">
        <v>9</v>
      </c>
    </row>
    <row r="9" spans="1:17">
      <c r="A9" s="8" t="s">
        <v>354</v>
      </c>
      <c r="B9" s="8" t="s">
        <v>320</v>
      </c>
      <c r="C9" s="8"/>
      <c r="D9" s="8"/>
      <c r="E9" s="8" t="s">
        <v>351</v>
      </c>
      <c r="F9" s="8">
        <v>100</v>
      </c>
      <c r="G9" s="8" t="s">
        <v>98</v>
      </c>
      <c r="H9" s="8"/>
      <c r="I9" s="8"/>
      <c r="J9" s="8"/>
      <c r="K9" s="8" t="s">
        <v>327</v>
      </c>
      <c r="L9" s="46"/>
      <c r="M9" s="7"/>
      <c r="N9" s="46">
        <v>10</v>
      </c>
    </row>
    <row r="10" spans="1:17">
      <c r="A10" s="8" t="s">
        <v>357</v>
      </c>
      <c r="B10" s="8" t="s">
        <v>320</v>
      </c>
      <c r="C10" s="8"/>
      <c r="D10" s="8"/>
      <c r="E10" s="8" t="s">
        <v>351</v>
      </c>
      <c r="F10" s="8">
        <v>100</v>
      </c>
      <c r="G10" s="8" t="s">
        <v>98</v>
      </c>
      <c r="H10" s="8"/>
      <c r="I10" s="8"/>
      <c r="J10" s="8"/>
      <c r="K10" s="8" t="s">
        <v>327</v>
      </c>
      <c r="L10" s="46"/>
      <c r="M10" s="7"/>
      <c r="N10" s="46">
        <v>11</v>
      </c>
    </row>
    <row r="11" spans="1:17">
      <c r="A11" s="8" t="s">
        <v>360</v>
      </c>
      <c r="B11" s="8" t="s">
        <v>320</v>
      </c>
      <c r="C11" s="8"/>
      <c r="D11" s="8"/>
      <c r="E11" s="8" t="s">
        <v>351</v>
      </c>
      <c r="F11" s="8">
        <v>100</v>
      </c>
      <c r="G11" s="8" t="s">
        <v>98</v>
      </c>
      <c r="H11" s="8"/>
      <c r="I11" s="8"/>
      <c r="J11" s="8"/>
      <c r="K11" s="8" t="s">
        <v>327</v>
      </c>
      <c r="L11" s="46"/>
      <c r="M11" s="7"/>
      <c r="N11" s="46">
        <v>12</v>
      </c>
    </row>
    <row r="12" spans="1:17">
      <c r="A12" s="8" t="s">
        <v>363</v>
      </c>
      <c r="B12" s="8" t="s">
        <v>320</v>
      </c>
      <c r="C12" s="8"/>
      <c r="D12" s="8"/>
      <c r="E12" s="8" t="s">
        <v>351</v>
      </c>
      <c r="F12" s="8">
        <v>100</v>
      </c>
      <c r="G12" s="8" t="s">
        <v>98</v>
      </c>
      <c r="H12" s="8"/>
      <c r="I12" s="8"/>
      <c r="J12" s="8"/>
      <c r="K12" s="8" t="s">
        <v>327</v>
      </c>
      <c r="L12" s="46"/>
      <c r="M12" s="7"/>
      <c r="N12" s="46">
        <v>13</v>
      </c>
    </row>
    <row r="13" spans="1:17">
      <c r="A13" s="8" t="s">
        <v>366</v>
      </c>
      <c r="B13" s="8" t="s">
        <v>320</v>
      </c>
      <c r="C13" s="8"/>
      <c r="D13" s="8"/>
      <c r="E13" s="8" t="s">
        <v>367</v>
      </c>
      <c r="F13" s="8"/>
      <c r="G13" s="8" t="s">
        <v>98</v>
      </c>
      <c r="H13" s="8"/>
      <c r="I13" s="8"/>
      <c r="J13" s="8"/>
      <c r="K13" s="8" t="s">
        <v>368</v>
      </c>
      <c r="L13" s="46"/>
      <c r="M13" s="7"/>
      <c r="N13" s="46">
        <v>14</v>
      </c>
    </row>
    <row r="14" spans="1:17">
      <c r="A14" s="8" t="s">
        <v>371</v>
      </c>
      <c r="B14" s="8" t="s">
        <v>320</v>
      </c>
      <c r="C14" s="8"/>
      <c r="D14" s="8"/>
      <c r="E14" s="8" t="s">
        <v>367</v>
      </c>
      <c r="F14" s="8"/>
      <c r="G14" s="8" t="s">
        <v>98</v>
      </c>
      <c r="H14" s="8"/>
      <c r="I14" s="8"/>
      <c r="J14" s="8"/>
      <c r="K14" s="8" t="s">
        <v>368</v>
      </c>
      <c r="L14" s="46"/>
      <c r="M14" s="7"/>
      <c r="N14" s="46">
        <v>15</v>
      </c>
    </row>
    <row r="15" spans="1:17">
      <c r="A15" s="8" t="s">
        <v>374</v>
      </c>
      <c r="B15" s="8" t="s">
        <v>320</v>
      </c>
      <c r="C15" s="8"/>
      <c r="D15" s="8"/>
      <c r="E15" s="8" t="s">
        <v>351</v>
      </c>
      <c r="F15" s="8">
        <v>100</v>
      </c>
      <c r="G15" s="8" t="s">
        <v>98</v>
      </c>
      <c r="H15" s="8"/>
      <c r="I15" s="8"/>
      <c r="J15" s="8"/>
      <c r="K15" s="8" t="s">
        <v>327</v>
      </c>
      <c r="L15" s="46"/>
      <c r="M15" s="7"/>
      <c r="N15" s="46">
        <v>16</v>
      </c>
    </row>
    <row r="18" spans="1:1">
      <c r="A18" s="21" t="s">
        <v>3342</v>
      </c>
    </row>
    <row r="19" spans="1:1">
      <c r="A19" s="21" t="s">
        <v>3343</v>
      </c>
    </row>
    <row r="21" spans="1:1">
      <c r="A21" s="21" t="s">
        <v>1032</v>
      </c>
    </row>
    <row r="22" spans="1:1">
      <c r="A22" t="s">
        <v>3344</v>
      </c>
    </row>
    <row r="23" spans="1:1">
      <c r="A23" t="s">
        <v>3345</v>
      </c>
    </row>
    <row r="25" spans="1:1">
      <c r="A25" s="21" t="s">
        <v>3089</v>
      </c>
    </row>
    <row r="26" spans="1:1">
      <c r="A26" s="80" t="s">
        <v>3346</v>
      </c>
    </row>
    <row r="27" spans="1:1">
      <c r="A27" t="s">
        <v>3347</v>
      </c>
    </row>
  </sheetData>
  <pageMargins left="0.7" right="0.7" top="0.75" bottom="0.75" header="0.3" footer="0.3"/>
  <legacy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0000"/>
  </sheetPr>
  <dimension ref="A1:L20"/>
  <sheetViews>
    <sheetView workbookViewId="0">
      <selection activeCell="B29" sqref="B29"/>
    </sheetView>
  </sheetViews>
  <sheetFormatPr defaultRowHeight="14.45"/>
  <cols>
    <col min="1" max="1" width="33.42578125" customWidth="1"/>
    <col min="2" max="4" width="20.7109375" customWidth="1"/>
    <col min="5" max="7" width="15.7109375" customWidth="1"/>
    <col min="8" max="12" width="20.7109375" customWidth="1"/>
  </cols>
  <sheetData>
    <row r="1" spans="1:12" ht="60" customHeight="1">
      <c r="A1" s="1" t="s">
        <v>100</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3348</v>
      </c>
      <c r="B3" s="6" t="s">
        <v>320</v>
      </c>
      <c r="C3" s="6"/>
      <c r="D3" s="6"/>
      <c r="E3" s="6" t="s">
        <v>319</v>
      </c>
      <c r="F3" s="6"/>
      <c r="G3" s="6" t="s">
        <v>98</v>
      </c>
      <c r="H3" s="6" t="s">
        <v>321</v>
      </c>
      <c r="I3" s="6"/>
      <c r="J3" s="6"/>
      <c r="K3" s="6">
        <v>-1</v>
      </c>
    </row>
    <row r="4" spans="1:12">
      <c r="A4" s="9" t="s">
        <v>2159</v>
      </c>
      <c r="B4" s="9" t="s">
        <v>12</v>
      </c>
      <c r="C4" s="9" t="s">
        <v>101</v>
      </c>
      <c r="D4" s="9" t="s">
        <v>2160</v>
      </c>
      <c r="E4" s="9" t="s">
        <v>351</v>
      </c>
      <c r="F4" s="9">
        <v>10</v>
      </c>
      <c r="G4" s="9" t="s">
        <v>98</v>
      </c>
      <c r="H4" s="9"/>
      <c r="I4" s="9"/>
      <c r="J4" s="9"/>
      <c r="K4" s="9" t="s">
        <v>327</v>
      </c>
    </row>
    <row r="5" spans="1:12">
      <c r="A5" s="7" t="s">
        <v>3349</v>
      </c>
      <c r="B5" s="7" t="s">
        <v>12</v>
      </c>
      <c r="C5" s="7" t="s">
        <v>101</v>
      </c>
      <c r="D5" s="7" t="s">
        <v>3350</v>
      </c>
      <c r="E5" s="7" t="s">
        <v>431</v>
      </c>
      <c r="F5" s="7"/>
      <c r="G5" s="7" t="s">
        <v>98</v>
      </c>
      <c r="H5" s="7" t="s">
        <v>3351</v>
      </c>
      <c r="I5" s="7"/>
      <c r="J5" s="7" t="s">
        <v>942</v>
      </c>
      <c r="K5" s="7">
        <v>-1</v>
      </c>
    </row>
    <row r="6" spans="1:12">
      <c r="A6" s="7" t="s">
        <v>3352</v>
      </c>
      <c r="B6" s="7" t="s">
        <v>12</v>
      </c>
      <c r="C6" s="7" t="s">
        <v>101</v>
      </c>
      <c r="D6" s="7" t="s">
        <v>3353</v>
      </c>
      <c r="E6" s="7" t="s">
        <v>351</v>
      </c>
      <c r="F6" s="7">
        <v>100</v>
      </c>
      <c r="G6" s="7" t="s">
        <v>98</v>
      </c>
      <c r="H6" s="7"/>
      <c r="I6" s="7"/>
      <c r="J6" s="7"/>
      <c r="K6" s="7" t="s">
        <v>327</v>
      </c>
    </row>
    <row r="7" spans="1:12">
      <c r="A7" s="7" t="s">
        <v>345</v>
      </c>
      <c r="B7" s="7" t="s">
        <v>12</v>
      </c>
      <c r="C7" s="7" t="s">
        <v>101</v>
      </c>
      <c r="D7" s="7" t="s">
        <v>347</v>
      </c>
      <c r="E7" s="7" t="s">
        <v>346</v>
      </c>
      <c r="F7" s="7"/>
      <c r="G7" s="7" t="s">
        <v>98</v>
      </c>
      <c r="H7" s="7"/>
      <c r="I7" s="7"/>
      <c r="J7" s="7"/>
      <c r="K7" s="7">
        <v>-1</v>
      </c>
    </row>
    <row r="8" spans="1:12">
      <c r="A8" s="7" t="s">
        <v>3354</v>
      </c>
      <c r="B8" s="7" t="s">
        <v>12</v>
      </c>
      <c r="C8" s="7" t="s">
        <v>101</v>
      </c>
      <c r="D8" s="7" t="s">
        <v>3355</v>
      </c>
      <c r="E8" s="7" t="s">
        <v>351</v>
      </c>
      <c r="F8" s="7">
        <v>50</v>
      </c>
      <c r="G8" s="7" t="s">
        <v>98</v>
      </c>
      <c r="H8" s="7"/>
      <c r="I8" s="7"/>
      <c r="J8" s="7"/>
      <c r="K8" s="7" t="s">
        <v>327</v>
      </c>
    </row>
    <row r="9" spans="1:12">
      <c r="A9" s="7" t="s">
        <v>1590</v>
      </c>
      <c r="B9" s="7" t="s">
        <v>12</v>
      </c>
      <c r="C9" s="7" t="s">
        <v>101</v>
      </c>
      <c r="D9" s="7" t="s">
        <v>2204</v>
      </c>
      <c r="E9" s="7" t="s">
        <v>367</v>
      </c>
      <c r="F9" s="7"/>
      <c r="G9" s="7" t="s">
        <v>98</v>
      </c>
      <c r="H9" s="7"/>
      <c r="I9" s="7"/>
      <c r="J9" s="7"/>
      <c r="K9" s="7" t="s">
        <v>368</v>
      </c>
    </row>
    <row r="10" spans="1:12">
      <c r="A10" s="8" t="s">
        <v>350</v>
      </c>
      <c r="B10" s="8" t="s">
        <v>320</v>
      </c>
      <c r="C10" s="8"/>
      <c r="D10" s="8"/>
      <c r="E10" s="8" t="s">
        <v>351</v>
      </c>
      <c r="F10" s="8">
        <v>100</v>
      </c>
      <c r="G10" s="8" t="s">
        <v>98</v>
      </c>
      <c r="H10" s="8"/>
      <c r="I10" s="8"/>
      <c r="J10" s="8"/>
      <c r="K10" s="8" t="s">
        <v>327</v>
      </c>
    </row>
    <row r="11" spans="1:12">
      <c r="A11" s="8" t="s">
        <v>354</v>
      </c>
      <c r="B11" s="8" t="s">
        <v>320</v>
      </c>
      <c r="C11" s="8"/>
      <c r="D11" s="8"/>
      <c r="E11" s="8" t="s">
        <v>351</v>
      </c>
      <c r="F11" s="8">
        <v>100</v>
      </c>
      <c r="G11" s="8" t="s">
        <v>98</v>
      </c>
      <c r="H11" s="8"/>
      <c r="I11" s="8"/>
      <c r="J11" s="8"/>
      <c r="K11" s="8" t="s">
        <v>327</v>
      </c>
    </row>
    <row r="12" spans="1:12">
      <c r="A12" s="8" t="s">
        <v>357</v>
      </c>
      <c r="B12" s="8" t="s">
        <v>320</v>
      </c>
      <c r="C12" s="8"/>
      <c r="D12" s="8"/>
      <c r="E12" s="8" t="s">
        <v>351</v>
      </c>
      <c r="F12" s="8">
        <v>100</v>
      </c>
      <c r="G12" s="8" t="s">
        <v>98</v>
      </c>
      <c r="H12" s="8"/>
      <c r="I12" s="8"/>
      <c r="J12" s="8"/>
      <c r="K12" s="8" t="s">
        <v>327</v>
      </c>
    </row>
    <row r="13" spans="1:12">
      <c r="A13" s="8" t="s">
        <v>360</v>
      </c>
      <c r="B13" s="8" t="s">
        <v>320</v>
      </c>
      <c r="C13" s="8"/>
      <c r="D13" s="8"/>
      <c r="E13" s="8" t="s">
        <v>351</v>
      </c>
      <c r="F13" s="8">
        <v>100</v>
      </c>
      <c r="G13" s="8" t="s">
        <v>98</v>
      </c>
      <c r="H13" s="8"/>
      <c r="I13" s="8"/>
      <c r="J13" s="8"/>
      <c r="K13" s="8" t="s">
        <v>327</v>
      </c>
    </row>
    <row r="14" spans="1:12">
      <c r="A14" s="8" t="s">
        <v>363</v>
      </c>
      <c r="B14" s="8" t="s">
        <v>320</v>
      </c>
      <c r="C14" s="8"/>
      <c r="D14" s="8"/>
      <c r="E14" s="8" t="s">
        <v>351</v>
      </c>
      <c r="F14" s="8">
        <v>100</v>
      </c>
      <c r="G14" s="8" t="s">
        <v>98</v>
      </c>
      <c r="H14" s="8"/>
      <c r="I14" s="8"/>
      <c r="J14" s="8"/>
      <c r="K14" s="8" t="s">
        <v>327</v>
      </c>
    </row>
    <row r="15" spans="1:12">
      <c r="A15" s="8" t="s">
        <v>366</v>
      </c>
      <c r="B15" s="8" t="s">
        <v>320</v>
      </c>
      <c r="C15" s="8"/>
      <c r="D15" s="8"/>
      <c r="E15" s="8" t="s">
        <v>367</v>
      </c>
      <c r="F15" s="8"/>
      <c r="G15" s="8" t="s">
        <v>98</v>
      </c>
      <c r="H15" s="8"/>
      <c r="I15" s="8"/>
      <c r="J15" s="8"/>
      <c r="K15" s="8" t="s">
        <v>368</v>
      </c>
    </row>
    <row r="16" spans="1:12">
      <c r="A16" s="8" t="s">
        <v>371</v>
      </c>
      <c r="B16" s="8" t="s">
        <v>320</v>
      </c>
      <c r="C16" s="8"/>
      <c r="D16" s="8"/>
      <c r="E16" s="8" t="s">
        <v>367</v>
      </c>
      <c r="F16" s="8"/>
      <c r="G16" s="8" t="s">
        <v>98</v>
      </c>
      <c r="H16" s="8"/>
      <c r="I16" s="8"/>
      <c r="J16" s="8"/>
      <c r="K16" s="8" t="s">
        <v>368</v>
      </c>
    </row>
    <row r="17" spans="1:11">
      <c r="A17" s="8" t="s">
        <v>374</v>
      </c>
      <c r="B17" s="8" t="s">
        <v>320</v>
      </c>
      <c r="C17" s="8"/>
      <c r="D17" s="8"/>
      <c r="E17" s="8" t="s">
        <v>351</v>
      </c>
      <c r="F17" s="8">
        <v>100</v>
      </c>
      <c r="G17" s="8" t="s">
        <v>98</v>
      </c>
      <c r="H17" s="8"/>
      <c r="I17" s="8"/>
      <c r="J17" s="8"/>
      <c r="K17" s="8" t="s">
        <v>327</v>
      </c>
    </row>
    <row r="20" spans="1:11">
      <c r="A20" s="40" t="s">
        <v>3356</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99B44-0E97-484A-8A76-8C5C7DD88F1D}">
  <sheetPr>
    <tabColor rgb="FFFF0000"/>
  </sheetPr>
  <dimension ref="A1:N18"/>
  <sheetViews>
    <sheetView zoomScale="80" zoomScaleNormal="80" workbookViewId="0">
      <selection activeCell="A20" sqref="A20"/>
    </sheetView>
  </sheetViews>
  <sheetFormatPr defaultRowHeight="14.45"/>
  <cols>
    <col min="1" max="1" width="34.28515625" customWidth="1"/>
    <col min="2" max="2" width="27.42578125" customWidth="1"/>
    <col min="3" max="3" width="30.71093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39.28515625" customWidth="1"/>
    <col min="14" max="14" width="18.28515625" bestFit="1" customWidth="1"/>
  </cols>
  <sheetData>
    <row r="1" spans="1:14" ht="76.5" customHeight="1">
      <c r="A1" s="1" t="s">
        <v>104</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3357</v>
      </c>
      <c r="B3" s="6" t="s">
        <v>320</v>
      </c>
      <c r="C3" s="6" t="s">
        <v>105</v>
      </c>
      <c r="D3" s="6"/>
      <c r="E3" s="6" t="s">
        <v>319</v>
      </c>
      <c r="F3" s="6"/>
      <c r="G3" s="6" t="s">
        <v>98</v>
      </c>
      <c r="H3" s="6" t="s">
        <v>321</v>
      </c>
      <c r="I3" s="6"/>
      <c r="J3" s="6"/>
      <c r="K3" s="6">
        <v>-1</v>
      </c>
      <c r="L3" s="46"/>
      <c r="M3" s="7"/>
      <c r="N3" s="46">
        <v>1</v>
      </c>
    </row>
    <row r="4" spans="1:14">
      <c r="A4" s="9" t="s">
        <v>335</v>
      </c>
      <c r="B4" s="9" t="s">
        <v>21</v>
      </c>
      <c r="C4" s="9" t="s">
        <v>105</v>
      </c>
      <c r="D4" s="9" t="s">
        <v>3358</v>
      </c>
      <c r="E4" s="9" t="s">
        <v>325</v>
      </c>
      <c r="F4" s="9">
        <v>2</v>
      </c>
      <c r="G4" s="9" t="s">
        <v>98</v>
      </c>
      <c r="H4" s="9"/>
      <c r="I4" s="9"/>
      <c r="J4" s="9"/>
      <c r="K4" s="9"/>
      <c r="L4" s="46"/>
      <c r="M4" s="7"/>
      <c r="N4" s="46">
        <v>2</v>
      </c>
    </row>
    <row r="5" spans="1:14">
      <c r="A5" s="7" t="s">
        <v>340</v>
      </c>
      <c r="B5" s="7" t="s">
        <v>21</v>
      </c>
      <c r="C5" s="7" t="s">
        <v>105</v>
      </c>
      <c r="D5" s="7" t="s">
        <v>3</v>
      </c>
      <c r="E5" s="7" t="s">
        <v>325</v>
      </c>
      <c r="F5" s="7">
        <v>255</v>
      </c>
      <c r="G5" s="7" t="s">
        <v>74</v>
      </c>
      <c r="H5" s="7"/>
      <c r="I5" s="7"/>
      <c r="J5" s="7"/>
      <c r="K5" s="7"/>
      <c r="L5" s="46"/>
      <c r="M5" s="7"/>
      <c r="N5" s="46">
        <v>3</v>
      </c>
    </row>
    <row r="6" spans="1:14">
      <c r="A6" s="9" t="s">
        <v>187</v>
      </c>
      <c r="B6" s="9" t="s">
        <v>21</v>
      </c>
      <c r="C6" s="9" t="s">
        <v>105</v>
      </c>
      <c r="D6" s="9" t="s">
        <v>3359</v>
      </c>
      <c r="E6" s="9" t="s">
        <v>325</v>
      </c>
      <c r="F6" s="9">
        <v>2</v>
      </c>
      <c r="G6" s="9" t="s">
        <v>98</v>
      </c>
      <c r="H6" s="9"/>
      <c r="I6" s="9"/>
      <c r="J6" s="9"/>
      <c r="K6" s="9"/>
      <c r="L6" s="46"/>
      <c r="M6" s="7"/>
      <c r="N6" s="46">
        <v>4</v>
      </c>
    </row>
    <row r="7" spans="1:14">
      <c r="A7" s="7" t="s">
        <v>345</v>
      </c>
      <c r="B7" s="7" t="s">
        <v>21</v>
      </c>
      <c r="C7" s="7" t="s">
        <v>105</v>
      </c>
      <c r="D7" s="7" t="s">
        <v>347</v>
      </c>
      <c r="E7" s="7" t="s">
        <v>346</v>
      </c>
      <c r="F7" s="7"/>
      <c r="G7" s="7" t="s">
        <v>98</v>
      </c>
      <c r="H7" s="7"/>
      <c r="I7" s="7"/>
      <c r="J7" s="7"/>
      <c r="K7" s="7"/>
      <c r="L7" s="46"/>
      <c r="M7" s="7"/>
      <c r="N7" s="46">
        <v>5</v>
      </c>
    </row>
    <row r="8" spans="1:14">
      <c r="A8" s="8" t="s">
        <v>350</v>
      </c>
      <c r="B8" s="8" t="s">
        <v>320</v>
      </c>
      <c r="C8" s="8"/>
      <c r="D8" s="8"/>
      <c r="E8" s="8" t="s">
        <v>351</v>
      </c>
      <c r="F8" s="8">
        <v>100</v>
      </c>
      <c r="G8" s="8" t="s">
        <v>98</v>
      </c>
      <c r="H8" s="8"/>
      <c r="I8" s="8"/>
      <c r="J8" s="8"/>
      <c r="K8" s="8" t="s">
        <v>327</v>
      </c>
      <c r="L8" s="46"/>
      <c r="M8" s="7"/>
      <c r="N8" s="46">
        <v>7</v>
      </c>
    </row>
    <row r="9" spans="1:14">
      <c r="A9" s="8" t="s">
        <v>354</v>
      </c>
      <c r="B9" s="8" t="s">
        <v>320</v>
      </c>
      <c r="C9" s="8"/>
      <c r="D9" s="8"/>
      <c r="E9" s="8" t="s">
        <v>351</v>
      </c>
      <c r="F9" s="8">
        <v>100</v>
      </c>
      <c r="G9" s="8" t="s">
        <v>98</v>
      </c>
      <c r="H9" s="8"/>
      <c r="I9" s="8"/>
      <c r="J9" s="8"/>
      <c r="K9" s="8" t="s">
        <v>327</v>
      </c>
      <c r="L9" s="46"/>
      <c r="M9" s="7"/>
      <c r="N9" s="46">
        <v>8</v>
      </c>
    </row>
    <row r="10" spans="1:14">
      <c r="A10" s="8" t="s">
        <v>357</v>
      </c>
      <c r="B10" s="8" t="s">
        <v>320</v>
      </c>
      <c r="C10" s="8"/>
      <c r="D10" s="8"/>
      <c r="E10" s="8" t="s">
        <v>351</v>
      </c>
      <c r="F10" s="8">
        <v>100</v>
      </c>
      <c r="G10" s="8" t="s">
        <v>98</v>
      </c>
      <c r="H10" s="8"/>
      <c r="I10" s="8"/>
      <c r="J10" s="8"/>
      <c r="K10" s="8" t="s">
        <v>327</v>
      </c>
      <c r="L10" s="46"/>
      <c r="M10" s="7"/>
      <c r="N10" s="46">
        <v>9</v>
      </c>
    </row>
    <row r="11" spans="1:14">
      <c r="A11" s="8" t="s">
        <v>360</v>
      </c>
      <c r="B11" s="8" t="s">
        <v>320</v>
      </c>
      <c r="C11" s="8"/>
      <c r="D11" s="8"/>
      <c r="E11" s="8" t="s">
        <v>351</v>
      </c>
      <c r="F11" s="8">
        <v>100</v>
      </c>
      <c r="G11" s="8" t="s">
        <v>98</v>
      </c>
      <c r="H11" s="8"/>
      <c r="I11" s="8"/>
      <c r="J11" s="8"/>
      <c r="K11" s="8" t="s">
        <v>327</v>
      </c>
      <c r="L11" s="46"/>
      <c r="M11" s="7"/>
      <c r="N11" s="46">
        <v>10</v>
      </c>
    </row>
    <row r="12" spans="1:14">
      <c r="A12" s="8" t="s">
        <v>363</v>
      </c>
      <c r="B12" s="8" t="s">
        <v>320</v>
      </c>
      <c r="C12" s="8"/>
      <c r="D12" s="8"/>
      <c r="E12" s="8" t="s">
        <v>351</v>
      </c>
      <c r="F12" s="8">
        <v>100</v>
      </c>
      <c r="G12" s="8" t="s">
        <v>98</v>
      </c>
      <c r="H12" s="8"/>
      <c r="I12" s="8"/>
      <c r="J12" s="8"/>
      <c r="K12" s="8" t="s">
        <v>327</v>
      </c>
      <c r="L12" s="46"/>
      <c r="M12" s="7"/>
      <c r="N12" s="46">
        <v>11</v>
      </c>
    </row>
    <row r="13" spans="1:14">
      <c r="A13" s="8" t="s">
        <v>366</v>
      </c>
      <c r="B13" s="8" t="s">
        <v>320</v>
      </c>
      <c r="C13" s="8"/>
      <c r="D13" s="8"/>
      <c r="E13" s="8" t="s">
        <v>367</v>
      </c>
      <c r="F13" s="8"/>
      <c r="G13" s="8" t="s">
        <v>98</v>
      </c>
      <c r="H13" s="8"/>
      <c r="I13" s="8"/>
      <c r="J13" s="8"/>
      <c r="K13" s="8" t="s">
        <v>368</v>
      </c>
      <c r="L13" s="46"/>
      <c r="M13" s="7"/>
      <c r="N13" s="46">
        <v>12</v>
      </c>
    </row>
    <row r="14" spans="1:14">
      <c r="A14" s="8" t="s">
        <v>371</v>
      </c>
      <c r="B14" s="8" t="s">
        <v>320</v>
      </c>
      <c r="C14" s="8"/>
      <c r="D14" s="8"/>
      <c r="E14" s="8" t="s">
        <v>367</v>
      </c>
      <c r="F14" s="8"/>
      <c r="G14" s="8" t="s">
        <v>98</v>
      </c>
      <c r="H14" s="8"/>
      <c r="I14" s="8"/>
      <c r="J14" s="8"/>
      <c r="K14" s="8" t="s">
        <v>368</v>
      </c>
      <c r="L14" s="46"/>
      <c r="M14" s="7"/>
      <c r="N14" s="46">
        <v>13</v>
      </c>
    </row>
    <row r="15" spans="1:14">
      <c r="A15" s="8" t="s">
        <v>374</v>
      </c>
      <c r="B15" s="8" t="s">
        <v>320</v>
      </c>
      <c r="C15" s="8"/>
      <c r="D15" s="8"/>
      <c r="E15" s="8" t="s">
        <v>351</v>
      </c>
      <c r="F15" s="8">
        <v>100</v>
      </c>
      <c r="G15" s="8" t="s">
        <v>98</v>
      </c>
      <c r="H15" s="8"/>
      <c r="I15" s="8"/>
      <c r="J15" s="8"/>
      <c r="K15" s="8" t="s">
        <v>327</v>
      </c>
      <c r="L15" s="46"/>
      <c r="M15" s="7"/>
      <c r="N15" s="46">
        <v>14</v>
      </c>
    </row>
    <row r="18" spans="1:1">
      <c r="A18" s="40" t="s">
        <v>3360</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0000"/>
  </sheetPr>
  <dimension ref="A1:N21"/>
  <sheetViews>
    <sheetView workbookViewId="0">
      <selection activeCell="A8" sqref="A8"/>
    </sheetView>
  </sheetViews>
  <sheetFormatPr defaultRowHeight="14.45"/>
  <cols>
    <col min="1" max="1" width="25.7109375" customWidth="1"/>
    <col min="2" max="2" width="20.7109375" customWidth="1"/>
    <col min="3" max="3" width="28" customWidth="1"/>
    <col min="4" max="4" width="20.7109375" customWidth="1"/>
    <col min="5" max="7" width="15.7109375" customWidth="1"/>
    <col min="8" max="11" width="20.7109375" customWidth="1"/>
    <col min="12" max="12" width="20.7109375" style="44" customWidth="1"/>
    <col min="13" max="13" width="34.85546875" customWidth="1"/>
    <col min="14" max="14" width="17.28515625" bestFit="1" customWidth="1"/>
  </cols>
  <sheetData>
    <row r="1" spans="1:14" ht="60" customHeight="1">
      <c r="A1" s="1" t="s">
        <v>127</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3361</v>
      </c>
      <c r="B3" s="6" t="s">
        <v>320</v>
      </c>
      <c r="C3" s="6"/>
      <c r="D3" s="6"/>
      <c r="E3" s="6" t="s">
        <v>319</v>
      </c>
      <c r="F3" s="6"/>
      <c r="G3" s="6"/>
      <c r="H3" s="6"/>
      <c r="I3" s="6"/>
      <c r="J3" s="6"/>
      <c r="K3" s="6"/>
      <c r="L3" s="46"/>
      <c r="M3" s="7"/>
      <c r="N3" s="46">
        <v>1</v>
      </c>
    </row>
    <row r="4" spans="1:14">
      <c r="A4" s="27" t="s">
        <v>1235</v>
      </c>
      <c r="B4" s="27" t="s">
        <v>12</v>
      </c>
      <c r="C4" s="27" t="s">
        <v>128</v>
      </c>
      <c r="D4" s="27" t="s">
        <v>2508</v>
      </c>
      <c r="E4" s="27" t="s">
        <v>431</v>
      </c>
      <c r="F4" s="27"/>
      <c r="G4" s="27" t="s">
        <v>74</v>
      </c>
      <c r="H4" s="27"/>
      <c r="I4" s="27"/>
      <c r="J4" s="27"/>
      <c r="K4" s="27">
        <v>-1</v>
      </c>
      <c r="L4" s="46" t="s">
        <v>76</v>
      </c>
      <c r="M4" s="7" t="s">
        <v>3362</v>
      </c>
      <c r="N4" s="46">
        <v>2</v>
      </c>
    </row>
    <row r="5" spans="1:14">
      <c r="A5" s="27" t="s">
        <v>1248</v>
      </c>
      <c r="B5" s="27" t="s">
        <v>12</v>
      </c>
      <c r="C5" s="27" t="s">
        <v>128</v>
      </c>
      <c r="D5" s="27" t="s">
        <v>2631</v>
      </c>
      <c r="E5" s="27" t="s">
        <v>431</v>
      </c>
      <c r="F5" s="27"/>
      <c r="G5" s="27" t="s">
        <v>74</v>
      </c>
      <c r="H5" s="27"/>
      <c r="I5" s="27"/>
      <c r="J5" s="27"/>
      <c r="K5" s="27">
        <v>-1</v>
      </c>
      <c r="L5" s="46"/>
      <c r="M5" s="7"/>
      <c r="N5" s="46">
        <v>3</v>
      </c>
    </row>
    <row r="6" spans="1:14">
      <c r="A6" s="7" t="s">
        <v>3363</v>
      </c>
      <c r="B6" s="7" t="s">
        <v>12</v>
      </c>
      <c r="C6" s="7" t="s">
        <v>128</v>
      </c>
      <c r="D6" s="7" t="s">
        <v>3364</v>
      </c>
      <c r="E6" s="7" t="s">
        <v>431</v>
      </c>
      <c r="F6" s="7"/>
      <c r="G6" s="7" t="s">
        <v>98</v>
      </c>
      <c r="H6" s="7"/>
      <c r="I6" s="7"/>
      <c r="J6" s="7" t="s">
        <v>942</v>
      </c>
      <c r="K6" s="7">
        <v>-1</v>
      </c>
      <c r="L6" s="46" t="s">
        <v>76</v>
      </c>
      <c r="M6" s="7"/>
      <c r="N6" s="46">
        <v>4</v>
      </c>
    </row>
    <row r="7" spans="1:14">
      <c r="A7" s="22" t="s">
        <v>583</v>
      </c>
      <c r="B7" s="22" t="s">
        <v>12</v>
      </c>
      <c r="C7" s="22" t="s">
        <v>128</v>
      </c>
      <c r="D7" s="22" t="s">
        <v>505</v>
      </c>
      <c r="E7" s="22" t="s">
        <v>351</v>
      </c>
      <c r="F7" s="22">
        <v>3</v>
      </c>
      <c r="G7" s="22" t="s">
        <v>74</v>
      </c>
      <c r="H7" s="22" t="s">
        <v>3365</v>
      </c>
      <c r="I7" s="22"/>
      <c r="J7" s="22"/>
      <c r="K7" s="22" t="s">
        <v>327</v>
      </c>
      <c r="L7" s="46"/>
      <c r="M7" s="7" t="s">
        <v>3366</v>
      </c>
      <c r="N7" s="46">
        <v>5</v>
      </c>
    </row>
    <row r="8" spans="1:14">
      <c r="A8" s="7" t="s">
        <v>3367</v>
      </c>
      <c r="B8" s="7" t="s">
        <v>12</v>
      </c>
      <c r="C8" s="7" t="s">
        <v>128</v>
      </c>
      <c r="D8" s="7" t="s">
        <v>3368</v>
      </c>
      <c r="E8" s="7" t="s">
        <v>431</v>
      </c>
      <c r="F8" s="7"/>
      <c r="G8" s="7" t="s">
        <v>74</v>
      </c>
      <c r="H8" s="7"/>
      <c r="I8" s="7"/>
      <c r="J8" s="7"/>
      <c r="K8" s="7">
        <v>-1</v>
      </c>
      <c r="L8" s="46"/>
      <c r="M8" s="7" t="s">
        <v>3369</v>
      </c>
      <c r="N8" s="46">
        <v>6</v>
      </c>
    </row>
    <row r="9" spans="1:14">
      <c r="A9" s="7" t="s">
        <v>3370</v>
      </c>
      <c r="B9" s="7" t="s">
        <v>12</v>
      </c>
      <c r="C9" s="7" t="s">
        <v>128</v>
      </c>
      <c r="D9" s="7" t="s">
        <v>3371</v>
      </c>
      <c r="E9" s="7" t="s">
        <v>3372</v>
      </c>
      <c r="F9" s="7"/>
      <c r="G9" s="7" t="s">
        <v>74</v>
      </c>
      <c r="H9" s="7"/>
      <c r="I9" s="7"/>
      <c r="J9" s="7"/>
      <c r="K9" s="7"/>
      <c r="L9" s="46"/>
      <c r="M9" s="7"/>
      <c r="N9" s="46">
        <v>7</v>
      </c>
    </row>
    <row r="10" spans="1:14">
      <c r="A10" s="7" t="s">
        <v>3373</v>
      </c>
      <c r="B10" s="7" t="s">
        <v>12</v>
      </c>
      <c r="C10" s="7" t="s">
        <v>128</v>
      </c>
      <c r="D10" s="7" t="s">
        <v>3374</v>
      </c>
      <c r="E10" s="7" t="s">
        <v>367</v>
      </c>
      <c r="F10" s="7"/>
      <c r="G10" s="7" t="s">
        <v>74</v>
      </c>
      <c r="H10" s="7"/>
      <c r="I10" s="7"/>
      <c r="J10" s="7"/>
      <c r="K10" s="7" t="s">
        <v>368</v>
      </c>
      <c r="L10" s="46"/>
      <c r="M10" s="7"/>
      <c r="N10" s="46">
        <v>8</v>
      </c>
    </row>
    <row r="11" spans="1:14">
      <c r="A11" s="8" t="s">
        <v>350</v>
      </c>
      <c r="B11" s="8" t="s">
        <v>320</v>
      </c>
      <c r="C11" s="8"/>
      <c r="D11" s="8"/>
      <c r="E11" s="8" t="s">
        <v>351</v>
      </c>
      <c r="F11" s="8">
        <v>100</v>
      </c>
      <c r="G11" s="8" t="s">
        <v>98</v>
      </c>
      <c r="H11" s="8"/>
      <c r="I11" s="8"/>
      <c r="J11" s="8"/>
      <c r="K11" s="8" t="s">
        <v>327</v>
      </c>
      <c r="L11" s="46"/>
      <c r="M11" s="7"/>
      <c r="N11" s="46">
        <v>9</v>
      </c>
    </row>
    <row r="12" spans="1:14">
      <c r="A12" s="8" t="s">
        <v>354</v>
      </c>
      <c r="B12" s="8" t="s">
        <v>320</v>
      </c>
      <c r="C12" s="8"/>
      <c r="D12" s="8"/>
      <c r="E12" s="8" t="s">
        <v>351</v>
      </c>
      <c r="F12" s="8">
        <v>100</v>
      </c>
      <c r="G12" s="8" t="s">
        <v>98</v>
      </c>
      <c r="H12" s="8"/>
      <c r="I12" s="8"/>
      <c r="J12" s="8"/>
      <c r="K12" s="8" t="s">
        <v>327</v>
      </c>
      <c r="L12" s="46"/>
      <c r="M12" s="7"/>
      <c r="N12" s="46">
        <v>10</v>
      </c>
    </row>
    <row r="13" spans="1:14">
      <c r="A13" s="8" t="s">
        <v>357</v>
      </c>
      <c r="B13" s="8" t="s">
        <v>320</v>
      </c>
      <c r="C13" s="8"/>
      <c r="D13" s="8"/>
      <c r="E13" s="8" t="s">
        <v>351</v>
      </c>
      <c r="F13" s="8">
        <v>100</v>
      </c>
      <c r="G13" s="8" t="s">
        <v>98</v>
      </c>
      <c r="H13" s="8"/>
      <c r="I13" s="8"/>
      <c r="J13" s="8"/>
      <c r="K13" s="8" t="s">
        <v>327</v>
      </c>
      <c r="L13" s="46"/>
      <c r="M13" s="7"/>
      <c r="N13" s="46">
        <v>11</v>
      </c>
    </row>
    <row r="14" spans="1:14">
      <c r="A14" s="8" t="s">
        <v>360</v>
      </c>
      <c r="B14" s="8" t="s">
        <v>320</v>
      </c>
      <c r="C14" s="8"/>
      <c r="D14" s="8"/>
      <c r="E14" s="8" t="s">
        <v>351</v>
      </c>
      <c r="F14" s="8">
        <v>100</v>
      </c>
      <c r="G14" s="8" t="s">
        <v>98</v>
      </c>
      <c r="H14" s="8"/>
      <c r="I14" s="8"/>
      <c r="J14" s="8"/>
      <c r="K14" s="8" t="s">
        <v>327</v>
      </c>
      <c r="L14" s="46"/>
      <c r="M14" s="7"/>
      <c r="N14" s="46">
        <v>12</v>
      </c>
    </row>
    <row r="15" spans="1:14">
      <c r="A15" s="8" t="s">
        <v>363</v>
      </c>
      <c r="B15" s="8" t="s">
        <v>320</v>
      </c>
      <c r="C15" s="8"/>
      <c r="D15" s="8"/>
      <c r="E15" s="8" t="s">
        <v>351</v>
      </c>
      <c r="F15" s="8">
        <v>100</v>
      </c>
      <c r="G15" s="8" t="s">
        <v>98</v>
      </c>
      <c r="H15" s="8"/>
      <c r="I15" s="8"/>
      <c r="J15" s="8"/>
      <c r="K15" s="8" t="s">
        <v>327</v>
      </c>
      <c r="L15" s="46"/>
      <c r="M15" s="7"/>
      <c r="N15" s="46">
        <v>13</v>
      </c>
    </row>
    <row r="16" spans="1:14">
      <c r="A16" s="8" t="s">
        <v>366</v>
      </c>
      <c r="B16" s="8" t="s">
        <v>320</v>
      </c>
      <c r="C16" s="8"/>
      <c r="D16" s="8"/>
      <c r="E16" s="8" t="s">
        <v>367</v>
      </c>
      <c r="F16" s="8"/>
      <c r="G16" s="8" t="s">
        <v>98</v>
      </c>
      <c r="H16" s="8"/>
      <c r="I16" s="8"/>
      <c r="J16" s="8"/>
      <c r="K16" s="8" t="s">
        <v>368</v>
      </c>
      <c r="L16" s="46"/>
      <c r="M16" s="7"/>
      <c r="N16" s="46">
        <v>14</v>
      </c>
    </row>
    <row r="17" spans="1:14">
      <c r="A17" s="8" t="s">
        <v>371</v>
      </c>
      <c r="B17" s="8" t="s">
        <v>320</v>
      </c>
      <c r="C17" s="8"/>
      <c r="D17" s="8"/>
      <c r="E17" s="8" t="s">
        <v>367</v>
      </c>
      <c r="F17" s="8"/>
      <c r="G17" s="8" t="s">
        <v>98</v>
      </c>
      <c r="H17" s="8"/>
      <c r="I17" s="8"/>
      <c r="J17" s="8"/>
      <c r="K17" s="8" t="s">
        <v>368</v>
      </c>
      <c r="L17" s="46"/>
      <c r="M17" s="7"/>
      <c r="N17" s="46">
        <v>15</v>
      </c>
    </row>
    <row r="18" spans="1:14">
      <c r="A18" s="8" t="s">
        <v>374</v>
      </c>
      <c r="B18" s="8" t="s">
        <v>320</v>
      </c>
      <c r="C18" s="8"/>
      <c r="D18" s="8"/>
      <c r="E18" s="8" t="s">
        <v>351</v>
      </c>
      <c r="F18" s="8">
        <v>100</v>
      </c>
      <c r="G18" s="8" t="s">
        <v>98</v>
      </c>
      <c r="H18" s="8"/>
      <c r="I18" s="8"/>
      <c r="J18" s="8"/>
      <c r="K18" s="8" t="s">
        <v>327</v>
      </c>
      <c r="L18" s="46"/>
      <c r="M18" s="7"/>
      <c r="N18" s="46">
        <v>16</v>
      </c>
    </row>
    <row r="21" spans="1:14">
      <c r="A21" s="40" t="s">
        <v>3375</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0D64D-091B-4EFA-9FBB-26DB9A00F0F8}">
  <sheetPr codeName="Sheet44">
    <tabColor rgb="FFFF0000"/>
  </sheetPr>
  <dimension ref="A1:N16"/>
  <sheetViews>
    <sheetView zoomScale="90" zoomScaleNormal="90" workbookViewId="0">
      <selection activeCell="F16" sqref="F16"/>
    </sheetView>
  </sheetViews>
  <sheetFormatPr defaultRowHeight="14.45"/>
  <cols>
    <col min="1" max="1" width="33.140625" customWidth="1"/>
    <col min="2" max="2" width="20.7109375" customWidth="1"/>
    <col min="3" max="3" width="30.5703125" customWidth="1"/>
    <col min="4" max="4" width="20.7109375" customWidth="1"/>
    <col min="5" max="7" width="15.7109375" customWidth="1"/>
    <col min="8" max="8" width="37.140625" customWidth="1"/>
    <col min="9" max="11" width="20.7109375" customWidth="1"/>
    <col min="12" max="12" width="14.85546875" bestFit="1" customWidth="1"/>
    <col min="13" max="13" width="39.28515625" customWidth="1"/>
    <col min="14" max="14" width="17.28515625" bestFit="1" customWidth="1"/>
  </cols>
  <sheetData>
    <row r="1" spans="1:14" ht="60" customHeight="1">
      <c r="A1" s="1" t="s">
        <v>137</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3376</v>
      </c>
      <c r="B3" s="6" t="s">
        <v>320</v>
      </c>
      <c r="C3" s="6"/>
      <c r="D3" s="6"/>
      <c r="E3" s="6" t="s">
        <v>319</v>
      </c>
      <c r="F3" s="6"/>
      <c r="G3" s="6" t="s">
        <v>98</v>
      </c>
      <c r="H3" s="6"/>
      <c r="I3" s="6"/>
      <c r="J3" s="6"/>
      <c r="K3" s="6">
        <v>-1</v>
      </c>
      <c r="L3" s="46"/>
      <c r="M3" s="7"/>
      <c r="N3" s="46">
        <v>1</v>
      </c>
    </row>
    <row r="4" spans="1:14">
      <c r="A4" s="27" t="s">
        <v>3377</v>
      </c>
      <c r="B4" s="27" t="s">
        <v>12</v>
      </c>
      <c r="C4" s="27" t="s">
        <v>138</v>
      </c>
      <c r="D4" s="27" t="s">
        <v>2508</v>
      </c>
      <c r="E4" s="27" t="s">
        <v>319</v>
      </c>
      <c r="F4" s="27">
        <v>50</v>
      </c>
      <c r="G4" s="27" t="s">
        <v>98</v>
      </c>
      <c r="H4" s="27" t="s">
        <v>3378</v>
      </c>
      <c r="I4" s="27"/>
      <c r="J4" s="27"/>
      <c r="K4" s="27">
        <v>-1</v>
      </c>
      <c r="L4" s="46"/>
      <c r="M4" s="7" t="s">
        <v>2922</v>
      </c>
      <c r="N4" s="46">
        <v>3</v>
      </c>
    </row>
    <row r="5" spans="1:14">
      <c r="A5" s="27" t="s">
        <v>3379</v>
      </c>
      <c r="B5" s="27" t="s">
        <v>12</v>
      </c>
      <c r="C5" s="27" t="s">
        <v>138</v>
      </c>
      <c r="D5" s="27" t="s">
        <v>3380</v>
      </c>
      <c r="E5" s="27" t="s">
        <v>319</v>
      </c>
      <c r="F5" s="27"/>
      <c r="G5" s="27" t="s">
        <v>74</v>
      </c>
      <c r="H5" s="28" t="s">
        <v>3378</v>
      </c>
      <c r="I5" s="27"/>
      <c r="J5" s="27"/>
      <c r="K5" s="27">
        <v>-1</v>
      </c>
      <c r="L5" s="46"/>
      <c r="M5" s="7" t="s">
        <v>2922</v>
      </c>
      <c r="N5" s="46">
        <v>5</v>
      </c>
    </row>
    <row r="6" spans="1:14">
      <c r="A6" s="8" t="s">
        <v>350</v>
      </c>
      <c r="B6" s="8" t="s">
        <v>320</v>
      </c>
      <c r="C6" s="8"/>
      <c r="D6" s="8"/>
      <c r="E6" s="8" t="s">
        <v>351</v>
      </c>
      <c r="F6" s="8">
        <v>100</v>
      </c>
      <c r="G6" s="8" t="s">
        <v>98</v>
      </c>
      <c r="H6" s="8"/>
      <c r="I6" s="8"/>
      <c r="J6" s="8"/>
      <c r="K6" s="8" t="s">
        <v>327</v>
      </c>
      <c r="L6" s="46"/>
      <c r="M6" s="7"/>
      <c r="N6" s="46">
        <v>8</v>
      </c>
    </row>
    <row r="7" spans="1:14">
      <c r="A7" s="8" t="s">
        <v>354</v>
      </c>
      <c r="B7" s="8" t="s">
        <v>320</v>
      </c>
      <c r="C7" s="8"/>
      <c r="D7" s="8"/>
      <c r="E7" s="8" t="s">
        <v>351</v>
      </c>
      <c r="F7" s="8">
        <v>100</v>
      </c>
      <c r="G7" s="8" t="s">
        <v>98</v>
      </c>
      <c r="H7" s="8"/>
      <c r="I7" s="8"/>
      <c r="J7" s="8"/>
      <c r="K7" s="8" t="s">
        <v>327</v>
      </c>
      <c r="L7" s="46"/>
      <c r="M7" s="7"/>
      <c r="N7" s="46">
        <v>9</v>
      </c>
    </row>
    <row r="8" spans="1:14">
      <c r="A8" s="8" t="s">
        <v>357</v>
      </c>
      <c r="B8" s="8" t="s">
        <v>320</v>
      </c>
      <c r="C8" s="8"/>
      <c r="D8" s="8"/>
      <c r="E8" s="8" t="s">
        <v>351</v>
      </c>
      <c r="F8" s="8">
        <v>100</v>
      </c>
      <c r="G8" s="8" t="s">
        <v>98</v>
      </c>
      <c r="H8" s="8"/>
      <c r="I8" s="8"/>
      <c r="J8" s="8"/>
      <c r="K8" s="8" t="s">
        <v>327</v>
      </c>
      <c r="L8" s="46"/>
      <c r="M8" s="7"/>
      <c r="N8" s="46">
        <v>10</v>
      </c>
    </row>
    <row r="9" spans="1:14">
      <c r="A9" s="8" t="s">
        <v>360</v>
      </c>
      <c r="B9" s="8" t="s">
        <v>320</v>
      </c>
      <c r="C9" s="8"/>
      <c r="D9" s="8"/>
      <c r="E9" s="8" t="s">
        <v>351</v>
      </c>
      <c r="F9" s="8">
        <v>100</v>
      </c>
      <c r="G9" s="8" t="s">
        <v>98</v>
      </c>
      <c r="H9" s="8"/>
      <c r="I9" s="8"/>
      <c r="J9" s="8"/>
      <c r="K9" s="8" t="s">
        <v>327</v>
      </c>
      <c r="L9" s="46"/>
      <c r="M9" s="7"/>
      <c r="N9" s="46">
        <v>11</v>
      </c>
    </row>
    <row r="10" spans="1:14">
      <c r="A10" s="8" t="s">
        <v>363</v>
      </c>
      <c r="B10" s="8" t="s">
        <v>320</v>
      </c>
      <c r="C10" s="8"/>
      <c r="D10" s="8"/>
      <c r="E10" s="8" t="s">
        <v>351</v>
      </c>
      <c r="F10" s="8">
        <v>100</v>
      </c>
      <c r="G10" s="8" t="s">
        <v>98</v>
      </c>
      <c r="H10" s="8"/>
      <c r="I10" s="8"/>
      <c r="J10" s="8"/>
      <c r="K10" s="8" t="s">
        <v>327</v>
      </c>
      <c r="L10" s="46"/>
      <c r="M10" s="7"/>
      <c r="N10" s="46">
        <v>12</v>
      </c>
    </row>
    <row r="11" spans="1:14">
      <c r="A11" s="8" t="s">
        <v>366</v>
      </c>
      <c r="B11" s="8" t="s">
        <v>320</v>
      </c>
      <c r="C11" s="8"/>
      <c r="D11" s="8"/>
      <c r="E11" s="8" t="s">
        <v>367</v>
      </c>
      <c r="F11" s="8"/>
      <c r="G11" s="8" t="s">
        <v>98</v>
      </c>
      <c r="H11" s="8"/>
      <c r="I11" s="8"/>
      <c r="J11" s="8"/>
      <c r="K11" s="8" t="s">
        <v>368</v>
      </c>
      <c r="L11" s="46"/>
      <c r="M11" s="7"/>
      <c r="N11" s="46">
        <v>13</v>
      </c>
    </row>
    <row r="12" spans="1:14">
      <c r="A12" s="8" t="s">
        <v>371</v>
      </c>
      <c r="B12" s="8" t="s">
        <v>320</v>
      </c>
      <c r="C12" s="8"/>
      <c r="D12" s="8"/>
      <c r="E12" s="8" t="s">
        <v>367</v>
      </c>
      <c r="F12" s="8"/>
      <c r="G12" s="8" t="s">
        <v>98</v>
      </c>
      <c r="H12" s="8"/>
      <c r="I12" s="8"/>
      <c r="J12" s="8"/>
      <c r="K12" s="8" t="s">
        <v>368</v>
      </c>
      <c r="L12" s="46"/>
      <c r="M12" s="7"/>
      <c r="N12" s="46">
        <v>14</v>
      </c>
    </row>
    <row r="13" spans="1:14">
      <c r="A13" s="8" t="s">
        <v>374</v>
      </c>
      <c r="B13" s="8" t="s">
        <v>320</v>
      </c>
      <c r="C13" s="8"/>
      <c r="D13" s="8"/>
      <c r="E13" s="8" t="s">
        <v>351</v>
      </c>
      <c r="F13" s="8">
        <v>100</v>
      </c>
      <c r="G13" s="8" t="s">
        <v>98</v>
      </c>
      <c r="H13" s="8"/>
      <c r="I13" s="8"/>
      <c r="J13" s="8"/>
      <c r="K13" s="8" t="s">
        <v>327</v>
      </c>
      <c r="L13" s="46"/>
      <c r="M13" s="7"/>
      <c r="N13" s="46">
        <v>15</v>
      </c>
    </row>
    <row r="16" spans="1:14" ht="116.1">
      <c r="A16" s="90" t="s">
        <v>3381</v>
      </c>
    </row>
  </sheetData>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34F22-38EA-4763-8222-05DC9E9737AF}">
  <sheetPr>
    <tabColor rgb="FFFF0000"/>
  </sheetPr>
  <dimension ref="A1:N18"/>
  <sheetViews>
    <sheetView workbookViewId="0">
      <selection activeCell="C25" sqref="C25"/>
    </sheetView>
  </sheetViews>
  <sheetFormatPr defaultRowHeight="14.45"/>
  <cols>
    <col min="1" max="1" width="34.28515625" customWidth="1"/>
    <col min="2" max="2" width="27.42578125" customWidth="1"/>
    <col min="3" max="3" width="34.855468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17.28515625" bestFit="1" customWidth="1"/>
  </cols>
  <sheetData>
    <row r="1" spans="1:14" ht="76.5" customHeight="1">
      <c r="A1" s="1" t="s">
        <v>130</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3382</v>
      </c>
      <c r="B3" s="6" t="s">
        <v>320</v>
      </c>
      <c r="C3" s="6"/>
      <c r="D3" s="6"/>
      <c r="E3" s="6" t="s">
        <v>319</v>
      </c>
      <c r="F3" s="6"/>
      <c r="G3" s="6" t="s">
        <v>98</v>
      </c>
      <c r="H3" s="6" t="s">
        <v>321</v>
      </c>
      <c r="I3" s="6"/>
      <c r="J3" s="6"/>
      <c r="K3" s="6">
        <v>-1</v>
      </c>
      <c r="L3" s="46"/>
      <c r="M3" s="7"/>
      <c r="N3" s="46">
        <v>1</v>
      </c>
    </row>
    <row r="4" spans="1:14">
      <c r="A4" s="27" t="s">
        <v>425</v>
      </c>
      <c r="B4" s="27" t="s">
        <v>21</v>
      </c>
      <c r="C4" s="27" t="s">
        <v>131</v>
      </c>
      <c r="D4" s="27" t="s">
        <v>3383</v>
      </c>
      <c r="E4" s="27" t="s">
        <v>431</v>
      </c>
      <c r="F4" s="27"/>
      <c r="G4" s="27"/>
      <c r="H4" s="27" t="s">
        <v>3384</v>
      </c>
      <c r="I4" s="27"/>
      <c r="J4" s="27"/>
      <c r="K4" s="27"/>
      <c r="L4" s="46"/>
      <c r="M4" s="7"/>
      <c r="N4" s="46">
        <v>2</v>
      </c>
    </row>
    <row r="5" spans="1:14">
      <c r="A5" s="27" t="s">
        <v>821</v>
      </c>
      <c r="B5" s="27" t="s">
        <v>21</v>
      </c>
      <c r="C5" s="27" t="s">
        <v>131</v>
      </c>
      <c r="D5" s="27" t="s">
        <v>3385</v>
      </c>
      <c r="E5" s="27" t="s">
        <v>325</v>
      </c>
      <c r="F5" s="27">
        <v>5</v>
      </c>
      <c r="G5" s="27"/>
      <c r="H5" s="27" t="s">
        <v>3386</v>
      </c>
      <c r="I5" s="27"/>
      <c r="J5" s="27"/>
      <c r="K5" s="27"/>
      <c r="L5" s="46"/>
      <c r="M5" s="7"/>
      <c r="N5" s="46">
        <v>3</v>
      </c>
    </row>
    <row r="6" spans="1:14">
      <c r="A6" s="7" t="s">
        <v>345</v>
      </c>
      <c r="B6" s="7" t="s">
        <v>21</v>
      </c>
      <c r="C6" s="7" t="s">
        <v>131</v>
      </c>
      <c r="D6" s="7" t="s">
        <v>347</v>
      </c>
      <c r="E6" s="7" t="s">
        <v>346</v>
      </c>
      <c r="F6" s="7"/>
      <c r="G6" s="7" t="s">
        <v>98</v>
      </c>
      <c r="H6" s="7"/>
      <c r="I6" s="7"/>
      <c r="J6" s="7"/>
      <c r="K6" s="7"/>
      <c r="L6" s="46"/>
      <c r="M6" s="7"/>
      <c r="N6" s="46">
        <v>4</v>
      </c>
    </row>
    <row r="7" spans="1:14">
      <c r="A7" s="8" t="s">
        <v>350</v>
      </c>
      <c r="B7" s="8" t="s">
        <v>320</v>
      </c>
      <c r="C7" s="8"/>
      <c r="D7" s="8"/>
      <c r="E7" s="8" t="s">
        <v>351</v>
      </c>
      <c r="F7" s="8">
        <v>100</v>
      </c>
      <c r="G7" s="8" t="s">
        <v>98</v>
      </c>
      <c r="H7" s="8"/>
      <c r="I7" s="8"/>
      <c r="J7" s="8"/>
      <c r="K7" s="8" t="s">
        <v>327</v>
      </c>
      <c r="L7" s="46"/>
      <c r="M7" s="7"/>
      <c r="N7" s="46">
        <v>6</v>
      </c>
    </row>
    <row r="8" spans="1:14">
      <c r="A8" s="8" t="s">
        <v>354</v>
      </c>
      <c r="B8" s="8" t="s">
        <v>320</v>
      </c>
      <c r="C8" s="8"/>
      <c r="D8" s="8"/>
      <c r="E8" s="8" t="s">
        <v>351</v>
      </c>
      <c r="F8" s="8">
        <v>100</v>
      </c>
      <c r="G8" s="8" t="s">
        <v>98</v>
      </c>
      <c r="H8" s="8"/>
      <c r="I8" s="8"/>
      <c r="J8" s="8"/>
      <c r="K8" s="8" t="s">
        <v>327</v>
      </c>
      <c r="L8" s="46"/>
      <c r="M8" s="7"/>
      <c r="N8" s="46">
        <v>7</v>
      </c>
    </row>
    <row r="9" spans="1:14">
      <c r="A9" s="8" t="s">
        <v>357</v>
      </c>
      <c r="B9" s="8" t="s">
        <v>320</v>
      </c>
      <c r="C9" s="8"/>
      <c r="D9" s="8"/>
      <c r="E9" s="8" t="s">
        <v>351</v>
      </c>
      <c r="F9" s="8">
        <v>100</v>
      </c>
      <c r="G9" s="8" t="s">
        <v>98</v>
      </c>
      <c r="H9" s="8"/>
      <c r="I9" s="8"/>
      <c r="J9" s="8"/>
      <c r="K9" s="8" t="s">
        <v>327</v>
      </c>
      <c r="L9" s="46"/>
      <c r="M9" s="7"/>
      <c r="N9" s="46">
        <v>8</v>
      </c>
    </row>
    <row r="10" spans="1:14">
      <c r="A10" s="8" t="s">
        <v>360</v>
      </c>
      <c r="B10" s="8" t="s">
        <v>320</v>
      </c>
      <c r="C10" s="8"/>
      <c r="D10" s="8"/>
      <c r="E10" s="8" t="s">
        <v>351</v>
      </c>
      <c r="F10" s="8">
        <v>100</v>
      </c>
      <c r="G10" s="8" t="s">
        <v>98</v>
      </c>
      <c r="H10" s="8"/>
      <c r="I10" s="8"/>
      <c r="J10" s="8"/>
      <c r="K10" s="8" t="s">
        <v>327</v>
      </c>
      <c r="L10" s="46"/>
      <c r="M10" s="7"/>
      <c r="N10" s="46">
        <v>9</v>
      </c>
    </row>
    <row r="11" spans="1:14">
      <c r="A11" s="8" t="s">
        <v>363</v>
      </c>
      <c r="B11" s="8" t="s">
        <v>320</v>
      </c>
      <c r="C11" s="8"/>
      <c r="D11" s="8"/>
      <c r="E11" s="8" t="s">
        <v>351</v>
      </c>
      <c r="F11" s="8">
        <v>100</v>
      </c>
      <c r="G11" s="8" t="s">
        <v>98</v>
      </c>
      <c r="H11" s="8"/>
      <c r="I11" s="8"/>
      <c r="J11" s="8"/>
      <c r="K11" s="8" t="s">
        <v>327</v>
      </c>
      <c r="L11" s="46"/>
      <c r="M11" s="7"/>
      <c r="N11" s="46">
        <v>10</v>
      </c>
    </row>
    <row r="12" spans="1:14">
      <c r="A12" s="8" t="s">
        <v>366</v>
      </c>
      <c r="B12" s="8" t="s">
        <v>320</v>
      </c>
      <c r="C12" s="8"/>
      <c r="D12" s="8"/>
      <c r="E12" s="8" t="s">
        <v>367</v>
      </c>
      <c r="F12" s="8"/>
      <c r="G12" s="8" t="s">
        <v>98</v>
      </c>
      <c r="H12" s="8"/>
      <c r="I12" s="8"/>
      <c r="J12" s="8"/>
      <c r="K12" s="8" t="s">
        <v>368</v>
      </c>
      <c r="L12" s="46"/>
      <c r="M12" s="7"/>
      <c r="N12" s="46">
        <v>11</v>
      </c>
    </row>
    <row r="13" spans="1:14">
      <c r="A13" s="8" t="s">
        <v>371</v>
      </c>
      <c r="B13" s="8" t="s">
        <v>320</v>
      </c>
      <c r="C13" s="8"/>
      <c r="D13" s="8"/>
      <c r="E13" s="8" t="s">
        <v>367</v>
      </c>
      <c r="F13" s="8"/>
      <c r="G13" s="8" t="s">
        <v>98</v>
      </c>
      <c r="H13" s="8"/>
      <c r="I13" s="8"/>
      <c r="J13" s="8"/>
      <c r="K13" s="8" t="s">
        <v>368</v>
      </c>
      <c r="L13" s="46"/>
      <c r="M13" s="7"/>
      <c r="N13" s="46">
        <v>12</v>
      </c>
    </row>
    <row r="14" spans="1:14">
      <c r="A14" s="8" t="s">
        <v>374</v>
      </c>
      <c r="B14" s="8" t="s">
        <v>320</v>
      </c>
      <c r="C14" s="8"/>
      <c r="D14" s="8"/>
      <c r="E14" s="8" t="s">
        <v>351</v>
      </c>
      <c r="F14" s="8">
        <v>100</v>
      </c>
      <c r="G14" s="8" t="s">
        <v>98</v>
      </c>
      <c r="H14" s="8"/>
      <c r="I14" s="8"/>
      <c r="J14" s="8"/>
      <c r="K14" s="8" t="s">
        <v>327</v>
      </c>
      <c r="L14" s="46"/>
      <c r="M14" s="7"/>
      <c r="N14" s="46">
        <v>13</v>
      </c>
    </row>
    <row r="17" spans="1:1">
      <c r="A17" s="40" t="s">
        <v>3387</v>
      </c>
    </row>
    <row r="18" spans="1:1">
      <c r="A18" s="40" t="s">
        <v>3388</v>
      </c>
    </row>
  </sheetData>
  <pageMargins left="0.7" right="0.7" top="0.75" bottom="0.75" header="0.3" footer="0.3"/>
  <legacy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0000"/>
  </sheetPr>
  <dimension ref="A1:L20"/>
  <sheetViews>
    <sheetView workbookViewId="0">
      <selection activeCell="A29" sqref="A29"/>
    </sheetView>
  </sheetViews>
  <sheetFormatPr defaultRowHeight="14.45"/>
  <cols>
    <col min="1" max="1" width="32.42578125" customWidth="1"/>
    <col min="2" max="2" width="20.7109375" customWidth="1"/>
    <col min="3" max="3" width="24.28515625" customWidth="1"/>
    <col min="4" max="4" width="20.7109375" customWidth="1"/>
    <col min="5" max="7" width="15.7109375" customWidth="1"/>
    <col min="8" max="8" width="36.140625" customWidth="1"/>
    <col min="9" max="12" width="20.7109375" customWidth="1"/>
  </cols>
  <sheetData>
    <row r="1" spans="1:12" ht="60" customHeight="1">
      <c r="A1" s="1" t="s">
        <v>134</v>
      </c>
      <c r="D1" s="2" t="s">
        <v>297</v>
      </c>
      <c r="H1" s="25"/>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3389</v>
      </c>
      <c r="B3" s="6" t="s">
        <v>320</v>
      </c>
      <c r="C3" s="6"/>
      <c r="D3" s="6"/>
      <c r="E3" s="6" t="s">
        <v>319</v>
      </c>
      <c r="F3" s="6"/>
      <c r="G3" s="6" t="s">
        <v>98</v>
      </c>
      <c r="H3" s="6" t="s">
        <v>321</v>
      </c>
      <c r="I3" s="6"/>
      <c r="J3" s="6"/>
      <c r="K3" s="6">
        <v>-1</v>
      </c>
    </row>
    <row r="4" spans="1:12">
      <c r="A4" s="27" t="s">
        <v>1235</v>
      </c>
      <c r="B4" s="27" t="s">
        <v>12</v>
      </c>
      <c r="C4" s="27" t="s">
        <v>135</v>
      </c>
      <c r="D4" s="27" t="s">
        <v>2508</v>
      </c>
      <c r="E4" s="27" t="s">
        <v>431</v>
      </c>
      <c r="F4" s="27"/>
      <c r="G4" s="27" t="s">
        <v>74</v>
      </c>
      <c r="H4" s="27" t="s">
        <v>3390</v>
      </c>
      <c r="I4" s="27"/>
      <c r="J4" s="27"/>
      <c r="K4" s="27">
        <v>-1</v>
      </c>
    </row>
    <row r="5" spans="1:12">
      <c r="A5" s="27" t="s">
        <v>3391</v>
      </c>
      <c r="B5" s="27" t="s">
        <v>12</v>
      </c>
      <c r="C5" s="27" t="s">
        <v>135</v>
      </c>
      <c r="D5" s="27" t="s">
        <v>2155</v>
      </c>
      <c r="E5" s="27" t="s">
        <v>351</v>
      </c>
      <c r="F5" s="27">
        <v>5</v>
      </c>
      <c r="G5" s="27" t="s">
        <v>74</v>
      </c>
      <c r="H5" s="27" t="s">
        <v>3392</v>
      </c>
      <c r="I5" s="27"/>
      <c r="J5" s="27"/>
      <c r="K5" s="27" t="s">
        <v>327</v>
      </c>
    </row>
    <row r="6" spans="1:12">
      <c r="A6" s="24" t="s">
        <v>479</v>
      </c>
      <c r="B6" s="24" t="s">
        <v>12</v>
      </c>
      <c r="C6" s="24" t="s">
        <v>135</v>
      </c>
      <c r="D6" s="24" t="s">
        <v>484</v>
      </c>
      <c r="E6" s="24" t="s">
        <v>351</v>
      </c>
      <c r="F6" s="24">
        <v>10</v>
      </c>
      <c r="G6" s="24" t="s">
        <v>74</v>
      </c>
      <c r="H6" s="24" t="s">
        <v>3393</v>
      </c>
      <c r="I6" s="24"/>
      <c r="J6" s="24"/>
      <c r="K6" s="24" t="s">
        <v>327</v>
      </c>
    </row>
    <row r="7" spans="1:12">
      <c r="A7" s="7" t="s">
        <v>3394</v>
      </c>
      <c r="B7" s="7" t="s">
        <v>12</v>
      </c>
      <c r="C7" s="7" t="s">
        <v>135</v>
      </c>
      <c r="D7" s="7" t="s">
        <v>3395</v>
      </c>
      <c r="E7" s="7" t="s">
        <v>431</v>
      </c>
      <c r="F7" s="7"/>
      <c r="G7" s="7" t="s">
        <v>98</v>
      </c>
      <c r="H7" s="7" t="s">
        <v>3396</v>
      </c>
      <c r="I7" s="7"/>
      <c r="J7" s="7" t="s">
        <v>942</v>
      </c>
      <c r="K7" s="7">
        <v>-1</v>
      </c>
    </row>
    <row r="8" spans="1:12">
      <c r="A8" s="7" t="s">
        <v>1590</v>
      </c>
      <c r="B8" s="7" t="s">
        <v>12</v>
      </c>
      <c r="C8" s="7" t="s">
        <v>135</v>
      </c>
      <c r="D8" s="7" t="s">
        <v>2204</v>
      </c>
      <c r="E8" s="7" t="s">
        <v>367</v>
      </c>
      <c r="F8" s="7"/>
      <c r="G8" s="7" t="s">
        <v>74</v>
      </c>
      <c r="H8" s="7"/>
      <c r="I8" s="7"/>
      <c r="J8" s="7"/>
      <c r="K8" s="7" t="s">
        <v>368</v>
      </c>
    </row>
    <row r="9" spans="1:12">
      <c r="A9" s="7" t="s">
        <v>3354</v>
      </c>
      <c r="B9" s="7" t="s">
        <v>12</v>
      </c>
      <c r="C9" s="7" t="s">
        <v>135</v>
      </c>
      <c r="D9" s="7" t="s">
        <v>3355</v>
      </c>
      <c r="E9" s="7" t="s">
        <v>351</v>
      </c>
      <c r="F9" s="7">
        <v>30</v>
      </c>
      <c r="G9" s="7" t="s">
        <v>74</v>
      </c>
      <c r="H9" s="7"/>
      <c r="I9" s="7"/>
      <c r="J9" s="7"/>
      <c r="K9" s="7" t="s">
        <v>327</v>
      </c>
    </row>
    <row r="10" spans="1:12">
      <c r="A10" s="8" t="s">
        <v>350</v>
      </c>
      <c r="B10" s="8" t="s">
        <v>320</v>
      </c>
      <c r="C10" s="8"/>
      <c r="D10" s="8"/>
      <c r="E10" s="8" t="s">
        <v>351</v>
      </c>
      <c r="F10" s="8">
        <v>100</v>
      </c>
      <c r="G10" s="8" t="s">
        <v>98</v>
      </c>
      <c r="H10" s="8"/>
      <c r="I10" s="8"/>
      <c r="J10" s="8"/>
      <c r="K10" s="8" t="s">
        <v>327</v>
      </c>
    </row>
    <row r="11" spans="1:12">
      <c r="A11" s="8" t="s">
        <v>354</v>
      </c>
      <c r="B11" s="8" t="s">
        <v>320</v>
      </c>
      <c r="C11" s="8"/>
      <c r="D11" s="8"/>
      <c r="E11" s="8" t="s">
        <v>351</v>
      </c>
      <c r="F11" s="8">
        <v>100</v>
      </c>
      <c r="G11" s="8" t="s">
        <v>98</v>
      </c>
      <c r="H11" s="8"/>
      <c r="I11" s="8"/>
      <c r="J11" s="8"/>
      <c r="K11" s="8" t="s">
        <v>327</v>
      </c>
    </row>
    <row r="12" spans="1:12">
      <c r="A12" s="8" t="s">
        <v>357</v>
      </c>
      <c r="B12" s="8" t="s">
        <v>320</v>
      </c>
      <c r="C12" s="8"/>
      <c r="D12" s="8"/>
      <c r="E12" s="8" t="s">
        <v>351</v>
      </c>
      <c r="F12" s="8">
        <v>100</v>
      </c>
      <c r="G12" s="8" t="s">
        <v>98</v>
      </c>
      <c r="H12" s="8"/>
      <c r="I12" s="8"/>
      <c r="J12" s="8"/>
      <c r="K12" s="8" t="s">
        <v>327</v>
      </c>
    </row>
    <row r="13" spans="1:12">
      <c r="A13" s="8" t="s">
        <v>360</v>
      </c>
      <c r="B13" s="8" t="s">
        <v>320</v>
      </c>
      <c r="C13" s="8"/>
      <c r="D13" s="8"/>
      <c r="E13" s="8" t="s">
        <v>351</v>
      </c>
      <c r="F13" s="8">
        <v>100</v>
      </c>
      <c r="G13" s="8" t="s">
        <v>98</v>
      </c>
      <c r="H13" s="8"/>
      <c r="I13" s="8"/>
      <c r="J13" s="8"/>
      <c r="K13" s="8" t="s">
        <v>327</v>
      </c>
    </row>
    <row r="14" spans="1:12">
      <c r="A14" s="8" t="s">
        <v>363</v>
      </c>
      <c r="B14" s="8" t="s">
        <v>320</v>
      </c>
      <c r="C14" s="8"/>
      <c r="D14" s="8"/>
      <c r="E14" s="8" t="s">
        <v>351</v>
      </c>
      <c r="F14" s="8">
        <v>100</v>
      </c>
      <c r="G14" s="8" t="s">
        <v>98</v>
      </c>
      <c r="H14" s="8"/>
      <c r="I14" s="8"/>
      <c r="J14" s="8"/>
      <c r="K14" s="8" t="s">
        <v>327</v>
      </c>
    </row>
    <row r="15" spans="1:12">
      <c r="A15" s="8" t="s">
        <v>366</v>
      </c>
      <c r="B15" s="8" t="s">
        <v>320</v>
      </c>
      <c r="C15" s="8"/>
      <c r="D15" s="8"/>
      <c r="E15" s="8" t="s">
        <v>367</v>
      </c>
      <c r="F15" s="8"/>
      <c r="G15" s="8" t="s">
        <v>98</v>
      </c>
      <c r="H15" s="8"/>
      <c r="I15" s="8"/>
      <c r="J15" s="8"/>
      <c r="K15" s="8" t="s">
        <v>368</v>
      </c>
    </row>
    <row r="16" spans="1:12">
      <c r="A16" s="8" t="s">
        <v>371</v>
      </c>
      <c r="B16" s="8" t="s">
        <v>320</v>
      </c>
      <c r="C16" s="8"/>
      <c r="D16" s="8"/>
      <c r="E16" s="8" t="s">
        <v>367</v>
      </c>
      <c r="F16" s="8"/>
      <c r="G16" s="8" t="s">
        <v>98</v>
      </c>
      <c r="H16" s="8"/>
      <c r="I16" s="8"/>
      <c r="J16" s="8"/>
      <c r="K16" s="8" t="s">
        <v>368</v>
      </c>
    </row>
    <row r="17" spans="1:11">
      <c r="A17" s="8" t="s">
        <v>374</v>
      </c>
      <c r="B17" s="8" t="s">
        <v>320</v>
      </c>
      <c r="C17" s="8"/>
      <c r="D17" s="8"/>
      <c r="E17" s="8" t="s">
        <v>351</v>
      </c>
      <c r="F17" s="8">
        <v>100</v>
      </c>
      <c r="G17" s="8" t="s">
        <v>98</v>
      </c>
      <c r="H17" s="8"/>
      <c r="I17" s="8"/>
      <c r="J17" s="8"/>
      <c r="K17" s="8" t="s">
        <v>327</v>
      </c>
    </row>
    <row r="20" spans="1:11">
      <c r="A20" s="40" t="s">
        <v>3397</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F0000"/>
  </sheetPr>
  <dimension ref="A1:L21"/>
  <sheetViews>
    <sheetView workbookViewId="0">
      <selection activeCell="A21" sqref="A21"/>
    </sheetView>
  </sheetViews>
  <sheetFormatPr defaultRowHeight="14.45"/>
  <cols>
    <col min="1" max="1" width="33.42578125" customWidth="1"/>
    <col min="2" max="4" width="20.7109375" customWidth="1"/>
    <col min="5" max="7" width="15.7109375" customWidth="1"/>
    <col min="8" max="8" width="59" customWidth="1"/>
    <col min="9" max="12" width="20.7109375" customWidth="1"/>
  </cols>
  <sheetData>
    <row r="1" spans="1:12" ht="60" customHeight="1">
      <c r="A1" s="1" t="s">
        <v>143</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3398</v>
      </c>
      <c r="B3" s="6" t="s">
        <v>320</v>
      </c>
      <c r="C3" s="6"/>
      <c r="D3" s="6"/>
      <c r="E3" s="6" t="s">
        <v>319</v>
      </c>
      <c r="F3" s="6"/>
      <c r="G3" s="6" t="s">
        <v>98</v>
      </c>
      <c r="H3" s="6" t="s">
        <v>3399</v>
      </c>
      <c r="I3" s="6"/>
      <c r="J3" s="6"/>
      <c r="K3" s="6">
        <v>-1</v>
      </c>
    </row>
    <row r="4" spans="1:12" ht="29.1">
      <c r="A4" s="27" t="s">
        <v>3391</v>
      </c>
      <c r="B4" s="27" t="s">
        <v>12</v>
      </c>
      <c r="C4" s="27" t="s">
        <v>144</v>
      </c>
      <c r="D4" s="27" t="s">
        <v>2155</v>
      </c>
      <c r="E4" s="27" t="s">
        <v>351</v>
      </c>
      <c r="F4" s="27">
        <v>5</v>
      </c>
      <c r="G4" s="27" t="s">
        <v>98</v>
      </c>
      <c r="H4" s="28" t="s">
        <v>3400</v>
      </c>
      <c r="I4" s="27"/>
      <c r="J4" s="27"/>
      <c r="K4" s="27" t="s">
        <v>327</v>
      </c>
    </row>
    <row r="5" spans="1:12">
      <c r="A5" s="9" t="s">
        <v>3401</v>
      </c>
      <c r="B5" s="9" t="s">
        <v>12</v>
      </c>
      <c r="C5" s="9" t="s">
        <v>144</v>
      </c>
      <c r="D5" s="9" t="s">
        <v>3402</v>
      </c>
      <c r="E5" s="9" t="s">
        <v>351</v>
      </c>
      <c r="F5" s="9">
        <v>50</v>
      </c>
      <c r="G5" s="9" t="s">
        <v>98</v>
      </c>
      <c r="H5" s="9"/>
      <c r="I5" s="9"/>
      <c r="J5" s="9"/>
      <c r="K5" s="9" t="s">
        <v>327</v>
      </c>
    </row>
    <row r="6" spans="1:12">
      <c r="A6" s="7" t="s">
        <v>3403</v>
      </c>
      <c r="B6" s="7" t="s">
        <v>12</v>
      </c>
      <c r="C6" s="7" t="s">
        <v>144</v>
      </c>
      <c r="D6" s="7" t="s">
        <v>3404</v>
      </c>
      <c r="E6" s="7" t="s">
        <v>431</v>
      </c>
      <c r="F6" s="7"/>
      <c r="G6" s="7" t="s">
        <v>98</v>
      </c>
      <c r="H6" s="7" t="s">
        <v>3405</v>
      </c>
      <c r="I6" s="7"/>
      <c r="J6" s="7" t="s">
        <v>942</v>
      </c>
      <c r="K6" s="7">
        <v>-1</v>
      </c>
    </row>
    <row r="7" spans="1:12">
      <c r="A7" s="7" t="s">
        <v>143</v>
      </c>
      <c r="B7" s="7" t="s">
        <v>12</v>
      </c>
      <c r="C7" s="7" t="s">
        <v>144</v>
      </c>
      <c r="D7" s="7" t="s">
        <v>3406</v>
      </c>
      <c r="E7" s="7" t="s">
        <v>351</v>
      </c>
      <c r="F7" s="7">
        <v>100</v>
      </c>
      <c r="G7" s="7" t="s">
        <v>98</v>
      </c>
      <c r="H7" s="7"/>
      <c r="I7" s="7"/>
      <c r="J7" s="7"/>
      <c r="K7" s="7" t="s">
        <v>327</v>
      </c>
    </row>
    <row r="8" spans="1:12">
      <c r="A8" s="7" t="s">
        <v>345</v>
      </c>
      <c r="B8" s="7" t="s">
        <v>12</v>
      </c>
      <c r="C8" s="7" t="s">
        <v>144</v>
      </c>
      <c r="D8" s="7" t="s">
        <v>347</v>
      </c>
      <c r="E8" s="7" t="s">
        <v>346</v>
      </c>
      <c r="F8" s="7"/>
      <c r="G8" s="7" t="s">
        <v>98</v>
      </c>
      <c r="H8" s="7"/>
      <c r="I8" s="7"/>
      <c r="J8" s="7"/>
      <c r="K8" s="7">
        <v>-1</v>
      </c>
    </row>
    <row r="9" spans="1:12">
      <c r="A9" s="7" t="s">
        <v>1590</v>
      </c>
      <c r="B9" s="7" t="s">
        <v>12</v>
      </c>
      <c r="C9" s="7" t="s">
        <v>144</v>
      </c>
      <c r="D9" s="7" t="s">
        <v>2204</v>
      </c>
      <c r="E9" s="7" t="s">
        <v>367</v>
      </c>
      <c r="F9" s="7"/>
      <c r="G9" s="7" t="s">
        <v>98</v>
      </c>
      <c r="H9" s="7"/>
      <c r="I9" s="7"/>
      <c r="J9" s="7"/>
      <c r="K9" s="7" t="s">
        <v>368</v>
      </c>
    </row>
    <row r="10" spans="1:12">
      <c r="A10" s="7" t="s">
        <v>3354</v>
      </c>
      <c r="B10" s="7" t="s">
        <v>12</v>
      </c>
      <c r="C10" s="7" t="s">
        <v>144</v>
      </c>
      <c r="D10" s="7" t="s">
        <v>3355</v>
      </c>
      <c r="E10" s="7" t="s">
        <v>351</v>
      </c>
      <c r="F10" s="7">
        <v>30</v>
      </c>
      <c r="G10" s="7" t="s">
        <v>98</v>
      </c>
      <c r="H10" s="7"/>
      <c r="I10" s="7"/>
      <c r="J10" s="7"/>
      <c r="K10" s="7" t="s">
        <v>327</v>
      </c>
    </row>
    <row r="11" spans="1:12">
      <c r="A11" s="8" t="s">
        <v>350</v>
      </c>
      <c r="B11" s="8" t="s">
        <v>320</v>
      </c>
      <c r="C11" s="8"/>
      <c r="D11" s="8"/>
      <c r="E11" s="8" t="s">
        <v>351</v>
      </c>
      <c r="F11" s="8">
        <v>100</v>
      </c>
      <c r="G11" s="8" t="s">
        <v>98</v>
      </c>
      <c r="H11" s="8"/>
      <c r="I11" s="8"/>
      <c r="J11" s="8"/>
      <c r="K11" s="8" t="s">
        <v>327</v>
      </c>
    </row>
    <row r="12" spans="1:12">
      <c r="A12" s="8" t="s">
        <v>354</v>
      </c>
      <c r="B12" s="8" t="s">
        <v>320</v>
      </c>
      <c r="C12" s="8"/>
      <c r="D12" s="8"/>
      <c r="E12" s="8" t="s">
        <v>351</v>
      </c>
      <c r="F12" s="8">
        <v>100</v>
      </c>
      <c r="G12" s="8" t="s">
        <v>98</v>
      </c>
      <c r="H12" s="8"/>
      <c r="I12" s="8"/>
      <c r="J12" s="8"/>
      <c r="K12" s="8" t="s">
        <v>327</v>
      </c>
    </row>
    <row r="13" spans="1:12">
      <c r="A13" s="8" t="s">
        <v>357</v>
      </c>
      <c r="B13" s="8" t="s">
        <v>320</v>
      </c>
      <c r="C13" s="8"/>
      <c r="D13" s="8"/>
      <c r="E13" s="8" t="s">
        <v>351</v>
      </c>
      <c r="F13" s="8">
        <v>100</v>
      </c>
      <c r="G13" s="8" t="s">
        <v>98</v>
      </c>
      <c r="H13" s="8"/>
      <c r="I13" s="8"/>
      <c r="J13" s="8"/>
      <c r="K13" s="8" t="s">
        <v>327</v>
      </c>
    </row>
    <row r="14" spans="1:12">
      <c r="A14" s="8" t="s">
        <v>360</v>
      </c>
      <c r="B14" s="8" t="s">
        <v>320</v>
      </c>
      <c r="C14" s="8"/>
      <c r="D14" s="8"/>
      <c r="E14" s="8" t="s">
        <v>351</v>
      </c>
      <c r="F14" s="8">
        <v>100</v>
      </c>
      <c r="G14" s="8" t="s">
        <v>98</v>
      </c>
      <c r="H14" s="8"/>
      <c r="I14" s="8"/>
      <c r="J14" s="8"/>
      <c r="K14" s="8" t="s">
        <v>327</v>
      </c>
    </row>
    <row r="15" spans="1:12">
      <c r="A15" s="8" t="s">
        <v>363</v>
      </c>
      <c r="B15" s="8" t="s">
        <v>320</v>
      </c>
      <c r="C15" s="8"/>
      <c r="D15" s="8"/>
      <c r="E15" s="8" t="s">
        <v>351</v>
      </c>
      <c r="F15" s="8">
        <v>100</v>
      </c>
      <c r="G15" s="8" t="s">
        <v>98</v>
      </c>
      <c r="H15" s="8"/>
      <c r="I15" s="8"/>
      <c r="J15" s="8"/>
      <c r="K15" s="8" t="s">
        <v>327</v>
      </c>
    </row>
    <row r="16" spans="1:12">
      <c r="A16" s="8" t="s">
        <v>366</v>
      </c>
      <c r="B16" s="8" t="s">
        <v>320</v>
      </c>
      <c r="C16" s="8"/>
      <c r="D16" s="8"/>
      <c r="E16" s="8" t="s">
        <v>367</v>
      </c>
      <c r="F16" s="8"/>
      <c r="G16" s="8" t="s">
        <v>98</v>
      </c>
      <c r="H16" s="8"/>
      <c r="I16" s="8"/>
      <c r="J16" s="8"/>
      <c r="K16" s="8" t="s">
        <v>368</v>
      </c>
    </row>
    <row r="17" spans="1:11">
      <c r="A17" s="8" t="s">
        <v>371</v>
      </c>
      <c r="B17" s="8" t="s">
        <v>320</v>
      </c>
      <c r="C17" s="8"/>
      <c r="D17" s="8"/>
      <c r="E17" s="8" t="s">
        <v>367</v>
      </c>
      <c r="F17" s="8"/>
      <c r="G17" s="8" t="s">
        <v>98</v>
      </c>
      <c r="H17" s="8"/>
      <c r="I17" s="8"/>
      <c r="J17" s="8"/>
      <c r="K17" s="8" t="s">
        <v>368</v>
      </c>
    </row>
    <row r="18" spans="1:11">
      <c r="A18" s="8" t="s">
        <v>374</v>
      </c>
      <c r="B18" s="8" t="s">
        <v>320</v>
      </c>
      <c r="C18" s="8"/>
      <c r="D18" s="8"/>
      <c r="E18" s="8" t="s">
        <v>351</v>
      </c>
      <c r="F18" s="8">
        <v>100</v>
      </c>
      <c r="G18" s="8" t="s">
        <v>98</v>
      </c>
      <c r="H18" s="8"/>
      <c r="I18" s="8"/>
      <c r="J18" s="8"/>
      <c r="K18" s="8" t="s">
        <v>327</v>
      </c>
    </row>
    <row r="21" spans="1:11">
      <c r="A21" s="40" t="s">
        <v>3407</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FF0000"/>
  </sheetPr>
  <dimension ref="A1:N24"/>
  <sheetViews>
    <sheetView workbookViewId="0">
      <selection activeCell="G28" sqref="G28"/>
    </sheetView>
  </sheetViews>
  <sheetFormatPr defaultRowHeight="14.45"/>
  <cols>
    <col min="1" max="1" width="37.7109375" customWidth="1"/>
    <col min="2" max="4" width="20.7109375" customWidth="1"/>
    <col min="5" max="7" width="15.7109375" customWidth="1"/>
    <col min="8" max="8" width="47.28515625" customWidth="1"/>
    <col min="9" max="11" width="20.7109375" customWidth="1"/>
    <col min="12" max="12" width="15.7109375" style="44" bestFit="1" customWidth="1"/>
    <col min="13" max="13" width="34.85546875" customWidth="1"/>
    <col min="14" max="14" width="17.28515625" style="44" bestFit="1" customWidth="1"/>
  </cols>
  <sheetData>
    <row r="1" spans="1:14" ht="60" customHeight="1">
      <c r="A1" s="1" t="s">
        <v>163</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3408</v>
      </c>
      <c r="B3" s="6" t="s">
        <v>320</v>
      </c>
      <c r="C3" s="6"/>
      <c r="D3" s="6"/>
      <c r="E3" s="6" t="s">
        <v>319</v>
      </c>
      <c r="F3" s="6"/>
      <c r="G3" s="6" t="s">
        <v>98</v>
      </c>
      <c r="H3" s="6" t="s">
        <v>3409</v>
      </c>
      <c r="I3" s="6"/>
      <c r="J3" s="6"/>
      <c r="K3" s="6">
        <v>-1</v>
      </c>
      <c r="L3" s="46" t="s">
        <v>76</v>
      </c>
      <c r="M3" s="7"/>
      <c r="N3" s="46">
        <v>1</v>
      </c>
    </row>
    <row r="4" spans="1:14">
      <c r="A4" s="27" t="s">
        <v>3410</v>
      </c>
      <c r="B4" s="27" t="s">
        <v>12</v>
      </c>
      <c r="C4" s="27" t="s">
        <v>164</v>
      </c>
      <c r="D4" s="27" t="s">
        <v>3411</v>
      </c>
      <c r="E4" s="27" t="s">
        <v>351</v>
      </c>
      <c r="F4" s="27">
        <v>10</v>
      </c>
      <c r="G4" s="27" t="s">
        <v>74</v>
      </c>
      <c r="H4" s="27" t="s">
        <v>3412</v>
      </c>
      <c r="I4" s="27"/>
      <c r="J4" s="27"/>
      <c r="K4" s="27" t="s">
        <v>327</v>
      </c>
      <c r="L4" s="46" t="s">
        <v>76</v>
      </c>
      <c r="M4" s="7"/>
      <c r="N4" s="46">
        <v>2</v>
      </c>
    </row>
    <row r="5" spans="1:14">
      <c r="A5" s="7" t="s">
        <v>3234</v>
      </c>
      <c r="B5" s="7" t="s">
        <v>12</v>
      </c>
      <c r="C5" s="7" t="s">
        <v>164</v>
      </c>
      <c r="D5" s="7" t="s">
        <v>3235</v>
      </c>
      <c r="E5" s="7" t="s">
        <v>351</v>
      </c>
      <c r="F5" s="7">
        <v>100</v>
      </c>
      <c r="G5" s="7" t="s">
        <v>98</v>
      </c>
      <c r="H5" s="7" t="s">
        <v>995</v>
      </c>
      <c r="I5" s="7"/>
      <c r="J5" s="7"/>
      <c r="K5" s="7" t="s">
        <v>327</v>
      </c>
      <c r="L5" s="46"/>
      <c r="M5" s="7" t="s">
        <v>3413</v>
      </c>
      <c r="N5" s="46">
        <v>3</v>
      </c>
    </row>
    <row r="6" spans="1:14">
      <c r="A6" s="7" t="s">
        <v>3414</v>
      </c>
      <c r="B6" s="7" t="s">
        <v>12</v>
      </c>
      <c r="C6" s="7" t="s">
        <v>164</v>
      </c>
      <c r="D6" s="7" t="s">
        <v>3415</v>
      </c>
      <c r="E6" s="7" t="s">
        <v>351</v>
      </c>
      <c r="F6" s="7">
        <v>50</v>
      </c>
      <c r="G6" s="7" t="s">
        <v>74</v>
      </c>
      <c r="H6" s="7"/>
      <c r="I6" s="7"/>
      <c r="J6" s="7"/>
      <c r="K6" s="7" t="s">
        <v>327</v>
      </c>
      <c r="L6" s="46" t="s">
        <v>76</v>
      </c>
      <c r="M6" s="7"/>
      <c r="N6" s="46">
        <v>4</v>
      </c>
    </row>
    <row r="7" spans="1:14">
      <c r="A7" s="7" t="s">
        <v>3416</v>
      </c>
      <c r="B7" s="7" t="s">
        <v>12</v>
      </c>
      <c r="C7" s="7" t="s">
        <v>164</v>
      </c>
      <c r="D7" s="7" t="s">
        <v>3417</v>
      </c>
      <c r="E7" s="7" t="s">
        <v>351</v>
      </c>
      <c r="F7" s="7">
        <v>50</v>
      </c>
      <c r="G7" s="7" t="s">
        <v>74</v>
      </c>
      <c r="H7" s="7"/>
      <c r="I7" s="7"/>
      <c r="J7" s="7"/>
      <c r="K7" s="7" t="s">
        <v>327</v>
      </c>
      <c r="L7" s="46" t="s">
        <v>76</v>
      </c>
      <c r="M7" s="7"/>
      <c r="N7" s="46">
        <v>5</v>
      </c>
    </row>
    <row r="8" spans="1:14">
      <c r="A8" s="7" t="s">
        <v>3418</v>
      </c>
      <c r="B8" s="7" t="s">
        <v>12</v>
      </c>
      <c r="C8" s="7" t="s">
        <v>164</v>
      </c>
      <c r="D8" s="7" t="s">
        <v>3419</v>
      </c>
      <c r="E8" s="7" t="s">
        <v>351</v>
      </c>
      <c r="F8" s="7">
        <v>50</v>
      </c>
      <c r="G8" s="7" t="s">
        <v>74</v>
      </c>
      <c r="H8" s="7"/>
      <c r="I8" s="7"/>
      <c r="J8" s="7"/>
      <c r="K8" s="7" t="s">
        <v>327</v>
      </c>
      <c r="L8" s="46" t="s">
        <v>76</v>
      </c>
      <c r="M8" s="7"/>
      <c r="N8" s="46">
        <v>6</v>
      </c>
    </row>
    <row r="9" spans="1:14">
      <c r="A9" s="7" t="s">
        <v>3420</v>
      </c>
      <c r="B9" s="7" t="s">
        <v>12</v>
      </c>
      <c r="C9" s="7" t="s">
        <v>164</v>
      </c>
      <c r="D9" s="7" t="s">
        <v>3421</v>
      </c>
      <c r="E9" s="7" t="s">
        <v>351</v>
      </c>
      <c r="F9" s="7">
        <v>50</v>
      </c>
      <c r="G9" s="7" t="s">
        <v>74</v>
      </c>
      <c r="H9" s="7"/>
      <c r="I9" s="7"/>
      <c r="J9" s="7"/>
      <c r="K9" s="7" t="s">
        <v>327</v>
      </c>
      <c r="L9" s="46" t="s">
        <v>76</v>
      </c>
      <c r="M9" s="7"/>
      <c r="N9" s="46">
        <v>7</v>
      </c>
    </row>
    <row r="10" spans="1:14">
      <c r="A10" s="7" t="s">
        <v>345</v>
      </c>
      <c r="B10" s="7" t="s">
        <v>12</v>
      </c>
      <c r="C10" s="7" t="s">
        <v>164</v>
      </c>
      <c r="D10" s="7" t="s">
        <v>347</v>
      </c>
      <c r="E10" s="7" t="s">
        <v>346</v>
      </c>
      <c r="F10" s="7"/>
      <c r="G10" s="7" t="s">
        <v>98</v>
      </c>
      <c r="H10" s="7"/>
      <c r="I10" s="7"/>
      <c r="J10" s="7"/>
      <c r="K10" s="7">
        <v>-1</v>
      </c>
      <c r="L10" s="46" t="s">
        <v>76</v>
      </c>
      <c r="M10" s="7"/>
      <c r="N10" s="46">
        <v>8</v>
      </c>
    </row>
    <row r="11" spans="1:14">
      <c r="A11" s="7" t="s">
        <v>1590</v>
      </c>
      <c r="B11" s="7" t="s">
        <v>12</v>
      </c>
      <c r="C11" s="7" t="s">
        <v>164</v>
      </c>
      <c r="D11" s="7" t="s">
        <v>2204</v>
      </c>
      <c r="E11" s="7" t="s">
        <v>367</v>
      </c>
      <c r="F11" s="7"/>
      <c r="G11" s="7" t="s">
        <v>98</v>
      </c>
      <c r="H11" s="7"/>
      <c r="I11" s="7"/>
      <c r="J11" s="7"/>
      <c r="K11" s="7" t="s">
        <v>368</v>
      </c>
      <c r="L11" s="46" t="s">
        <v>76</v>
      </c>
      <c r="M11" s="7"/>
      <c r="N11" s="46">
        <v>9</v>
      </c>
    </row>
    <row r="12" spans="1:14">
      <c r="A12" s="7" t="s">
        <v>3354</v>
      </c>
      <c r="B12" s="7" t="s">
        <v>12</v>
      </c>
      <c r="C12" s="7" t="s">
        <v>164</v>
      </c>
      <c r="D12" s="7" t="s">
        <v>3355</v>
      </c>
      <c r="E12" s="7" t="s">
        <v>351</v>
      </c>
      <c r="F12" s="7">
        <v>30</v>
      </c>
      <c r="G12" s="7" t="s">
        <v>98</v>
      </c>
      <c r="H12" s="7"/>
      <c r="I12" s="7"/>
      <c r="J12" s="7"/>
      <c r="K12" s="7" t="s">
        <v>327</v>
      </c>
      <c r="L12" s="46" t="s">
        <v>76</v>
      </c>
      <c r="M12" s="7"/>
      <c r="N12" s="46">
        <v>10</v>
      </c>
    </row>
    <row r="13" spans="1:14" ht="29.1">
      <c r="A13" s="27" t="s">
        <v>1292</v>
      </c>
      <c r="B13" s="27" t="s">
        <v>12</v>
      </c>
      <c r="C13" s="27" t="s">
        <v>164</v>
      </c>
      <c r="D13" s="27" t="s">
        <v>3422</v>
      </c>
      <c r="E13" s="27" t="s">
        <v>431</v>
      </c>
      <c r="F13" s="27"/>
      <c r="G13" s="27" t="s">
        <v>98</v>
      </c>
      <c r="H13" s="28" t="s">
        <v>3423</v>
      </c>
      <c r="I13" s="27"/>
      <c r="J13" s="27"/>
      <c r="K13" s="27">
        <v>-1</v>
      </c>
      <c r="L13" s="46" t="s">
        <v>76</v>
      </c>
      <c r="M13" s="7"/>
      <c r="N13" s="46">
        <v>11</v>
      </c>
    </row>
    <row r="14" spans="1:14">
      <c r="A14" s="8" t="s">
        <v>350</v>
      </c>
      <c r="B14" s="8" t="s">
        <v>320</v>
      </c>
      <c r="C14" s="8"/>
      <c r="D14" s="8"/>
      <c r="E14" s="8" t="s">
        <v>351</v>
      </c>
      <c r="F14" s="8">
        <v>100</v>
      </c>
      <c r="G14" s="8" t="s">
        <v>98</v>
      </c>
      <c r="H14" s="8"/>
      <c r="I14" s="8"/>
      <c r="J14" s="8"/>
      <c r="K14" s="8" t="s">
        <v>327</v>
      </c>
      <c r="L14" s="46" t="s">
        <v>76</v>
      </c>
      <c r="M14" s="7"/>
      <c r="N14" s="46">
        <v>12</v>
      </c>
    </row>
    <row r="15" spans="1:14">
      <c r="A15" s="8" t="s">
        <v>354</v>
      </c>
      <c r="B15" s="8" t="s">
        <v>320</v>
      </c>
      <c r="C15" s="8"/>
      <c r="D15" s="8"/>
      <c r="E15" s="8" t="s">
        <v>351</v>
      </c>
      <c r="F15" s="8">
        <v>100</v>
      </c>
      <c r="G15" s="8" t="s">
        <v>98</v>
      </c>
      <c r="H15" s="8"/>
      <c r="I15" s="8"/>
      <c r="J15" s="8"/>
      <c r="K15" s="8" t="s">
        <v>327</v>
      </c>
      <c r="L15" s="46" t="s">
        <v>76</v>
      </c>
      <c r="M15" s="7"/>
      <c r="N15" s="46">
        <v>13</v>
      </c>
    </row>
    <row r="16" spans="1:14">
      <c r="A16" s="8" t="s">
        <v>357</v>
      </c>
      <c r="B16" s="8" t="s">
        <v>320</v>
      </c>
      <c r="C16" s="8"/>
      <c r="D16" s="8"/>
      <c r="E16" s="8" t="s">
        <v>351</v>
      </c>
      <c r="F16" s="8">
        <v>100</v>
      </c>
      <c r="G16" s="8" t="s">
        <v>98</v>
      </c>
      <c r="H16" s="8"/>
      <c r="I16" s="8"/>
      <c r="J16" s="8"/>
      <c r="K16" s="8" t="s">
        <v>327</v>
      </c>
      <c r="L16" s="46" t="s">
        <v>76</v>
      </c>
      <c r="M16" s="7"/>
      <c r="N16" s="46">
        <v>14</v>
      </c>
    </row>
    <row r="17" spans="1:14">
      <c r="A17" s="8" t="s">
        <v>360</v>
      </c>
      <c r="B17" s="8" t="s">
        <v>320</v>
      </c>
      <c r="C17" s="8"/>
      <c r="D17" s="8"/>
      <c r="E17" s="8" t="s">
        <v>351</v>
      </c>
      <c r="F17" s="8">
        <v>100</v>
      </c>
      <c r="G17" s="8" t="s">
        <v>98</v>
      </c>
      <c r="H17" s="8"/>
      <c r="I17" s="8"/>
      <c r="J17" s="8"/>
      <c r="K17" s="8" t="s">
        <v>327</v>
      </c>
      <c r="L17" s="46" t="s">
        <v>76</v>
      </c>
      <c r="M17" s="7"/>
      <c r="N17" s="46">
        <v>15</v>
      </c>
    </row>
    <row r="18" spans="1:14">
      <c r="A18" s="8" t="s">
        <v>363</v>
      </c>
      <c r="B18" s="8" t="s">
        <v>320</v>
      </c>
      <c r="C18" s="8"/>
      <c r="D18" s="8"/>
      <c r="E18" s="8" t="s">
        <v>351</v>
      </c>
      <c r="F18" s="8">
        <v>100</v>
      </c>
      <c r="G18" s="8" t="s">
        <v>98</v>
      </c>
      <c r="H18" s="8"/>
      <c r="I18" s="8"/>
      <c r="J18" s="8"/>
      <c r="K18" s="8" t="s">
        <v>327</v>
      </c>
      <c r="L18" s="46" t="s">
        <v>76</v>
      </c>
      <c r="M18" s="7"/>
      <c r="N18" s="46">
        <v>16</v>
      </c>
    </row>
    <row r="19" spans="1:14">
      <c r="A19" s="8" t="s">
        <v>366</v>
      </c>
      <c r="B19" s="8" t="s">
        <v>320</v>
      </c>
      <c r="C19" s="8"/>
      <c r="D19" s="8"/>
      <c r="E19" s="8" t="s">
        <v>367</v>
      </c>
      <c r="F19" s="8"/>
      <c r="G19" s="8" t="s">
        <v>98</v>
      </c>
      <c r="H19" s="8"/>
      <c r="I19" s="8"/>
      <c r="J19" s="8"/>
      <c r="K19" s="8" t="s">
        <v>368</v>
      </c>
      <c r="L19" s="46" t="s">
        <v>76</v>
      </c>
      <c r="M19" s="7"/>
      <c r="N19" s="46">
        <v>17</v>
      </c>
    </row>
    <row r="20" spans="1:14">
      <c r="A20" s="8" t="s">
        <v>371</v>
      </c>
      <c r="B20" s="8" t="s">
        <v>320</v>
      </c>
      <c r="C20" s="8"/>
      <c r="D20" s="8"/>
      <c r="E20" s="8" t="s">
        <v>367</v>
      </c>
      <c r="F20" s="8"/>
      <c r="G20" s="8" t="s">
        <v>98</v>
      </c>
      <c r="H20" s="8"/>
      <c r="I20" s="8"/>
      <c r="J20" s="8"/>
      <c r="K20" s="8" t="s">
        <v>368</v>
      </c>
      <c r="L20" s="46" t="s">
        <v>76</v>
      </c>
      <c r="M20" s="7"/>
      <c r="N20" s="46">
        <v>18</v>
      </c>
    </row>
    <row r="21" spans="1:14">
      <c r="A21" s="8" t="s">
        <v>374</v>
      </c>
      <c r="B21" s="8" t="s">
        <v>320</v>
      </c>
      <c r="C21" s="8"/>
      <c r="D21" s="8"/>
      <c r="E21" s="8" t="s">
        <v>351</v>
      </c>
      <c r="F21" s="8">
        <v>100</v>
      </c>
      <c r="G21" s="8" t="s">
        <v>98</v>
      </c>
      <c r="H21" s="8"/>
      <c r="I21" s="8"/>
      <c r="J21" s="8"/>
      <c r="K21" s="8" t="s">
        <v>327</v>
      </c>
      <c r="L21" s="46" t="s">
        <v>76</v>
      </c>
      <c r="M21" s="7"/>
      <c r="N21" s="46">
        <v>19</v>
      </c>
    </row>
    <row r="24" spans="1:14">
      <c r="A24" s="40" t="s">
        <v>3424</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sheetPr>
  <dimension ref="A1:L20"/>
  <sheetViews>
    <sheetView workbookViewId="0">
      <selection activeCell="G27" sqref="G27"/>
    </sheetView>
  </sheetViews>
  <sheetFormatPr defaultRowHeight="14.45"/>
  <cols>
    <col min="1" max="1" width="39.42578125" customWidth="1"/>
    <col min="2" max="4" width="20.7109375" customWidth="1"/>
    <col min="5" max="7" width="15.7109375" customWidth="1"/>
    <col min="8" max="12" width="20.7109375" customWidth="1"/>
  </cols>
  <sheetData>
    <row r="1" spans="1:12" ht="60" customHeight="1">
      <c r="A1" s="1" t="s">
        <v>166</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3410</v>
      </c>
      <c r="B3" s="6" t="s">
        <v>320</v>
      </c>
      <c r="C3" s="6"/>
      <c r="D3" s="6"/>
      <c r="E3" s="6" t="s">
        <v>319</v>
      </c>
      <c r="F3" s="6"/>
      <c r="G3" s="6" t="s">
        <v>98</v>
      </c>
      <c r="H3" s="6" t="s">
        <v>321</v>
      </c>
      <c r="I3" s="6"/>
      <c r="J3" s="6"/>
      <c r="K3" s="6">
        <v>-1</v>
      </c>
    </row>
    <row r="4" spans="1:12">
      <c r="A4" s="7" t="s">
        <v>3425</v>
      </c>
      <c r="B4" s="7" t="s">
        <v>12</v>
      </c>
      <c r="C4" s="7" t="s">
        <v>167</v>
      </c>
      <c r="D4" s="7" t="s">
        <v>3426</v>
      </c>
      <c r="E4" s="7" t="s">
        <v>431</v>
      </c>
      <c r="F4" s="7"/>
      <c r="G4" s="7" t="s">
        <v>98</v>
      </c>
      <c r="H4" s="7" t="s">
        <v>3427</v>
      </c>
      <c r="I4" s="7"/>
      <c r="J4" s="7" t="s">
        <v>942</v>
      </c>
      <c r="K4" s="7">
        <v>-1</v>
      </c>
    </row>
    <row r="5" spans="1:12">
      <c r="A5" s="9" t="s">
        <v>3428</v>
      </c>
      <c r="B5" s="9" t="s">
        <v>12</v>
      </c>
      <c r="C5" s="9" t="s">
        <v>167</v>
      </c>
      <c r="D5" s="9" t="s">
        <v>3411</v>
      </c>
      <c r="E5" s="9" t="s">
        <v>351</v>
      </c>
      <c r="F5" s="9">
        <v>10</v>
      </c>
      <c r="G5" s="9" t="s">
        <v>74</v>
      </c>
      <c r="H5" s="9"/>
      <c r="I5" s="9"/>
      <c r="J5" s="9"/>
      <c r="K5" s="9" t="s">
        <v>327</v>
      </c>
    </row>
    <row r="6" spans="1:12">
      <c r="A6" s="7" t="s">
        <v>3429</v>
      </c>
      <c r="B6" s="7" t="s">
        <v>12</v>
      </c>
      <c r="C6" s="7" t="s">
        <v>167</v>
      </c>
      <c r="D6" s="7" t="s">
        <v>3430</v>
      </c>
      <c r="E6" s="7" t="s">
        <v>351</v>
      </c>
      <c r="F6" s="7">
        <v>100</v>
      </c>
      <c r="G6" s="7" t="s">
        <v>98</v>
      </c>
      <c r="H6" s="7"/>
      <c r="I6" s="7"/>
      <c r="J6" s="7"/>
      <c r="K6" s="7" t="s">
        <v>327</v>
      </c>
    </row>
    <row r="7" spans="1:12">
      <c r="A7" s="7" t="s">
        <v>345</v>
      </c>
      <c r="B7" s="7" t="s">
        <v>12</v>
      </c>
      <c r="C7" s="7" t="s">
        <v>167</v>
      </c>
      <c r="D7" s="7" t="s">
        <v>347</v>
      </c>
      <c r="E7" s="7" t="s">
        <v>346</v>
      </c>
      <c r="F7" s="7"/>
      <c r="G7" s="7" t="s">
        <v>98</v>
      </c>
      <c r="H7" s="7"/>
      <c r="I7" s="7"/>
      <c r="J7" s="7"/>
      <c r="K7" s="7">
        <v>-1</v>
      </c>
    </row>
    <row r="8" spans="1:12">
      <c r="A8" s="7" t="s">
        <v>1590</v>
      </c>
      <c r="B8" s="7" t="s">
        <v>12</v>
      </c>
      <c r="C8" s="7" t="s">
        <v>167</v>
      </c>
      <c r="D8" s="7" t="s">
        <v>2204</v>
      </c>
      <c r="E8" s="7" t="s">
        <v>367</v>
      </c>
      <c r="F8" s="7"/>
      <c r="G8" s="7" t="s">
        <v>98</v>
      </c>
      <c r="H8" s="7"/>
      <c r="I8" s="7"/>
      <c r="J8" s="7"/>
      <c r="K8" s="7" t="s">
        <v>368</v>
      </c>
    </row>
    <row r="9" spans="1:12">
      <c r="A9" s="7" t="s">
        <v>3354</v>
      </c>
      <c r="B9" s="7" t="s">
        <v>12</v>
      </c>
      <c r="C9" s="7" t="s">
        <v>167</v>
      </c>
      <c r="D9" s="7" t="s">
        <v>3355</v>
      </c>
      <c r="E9" s="7" t="s">
        <v>351</v>
      </c>
      <c r="F9" s="7">
        <v>50</v>
      </c>
      <c r="G9" s="7" t="s">
        <v>98</v>
      </c>
      <c r="H9" s="7"/>
      <c r="I9" s="7"/>
      <c r="J9" s="7"/>
      <c r="K9" s="7" t="s">
        <v>327</v>
      </c>
    </row>
    <row r="10" spans="1:12">
      <c r="A10" s="8" t="s">
        <v>350</v>
      </c>
      <c r="B10" s="8" t="s">
        <v>320</v>
      </c>
      <c r="C10" s="8"/>
      <c r="D10" s="8"/>
      <c r="E10" s="8" t="s">
        <v>351</v>
      </c>
      <c r="F10" s="8">
        <v>100</v>
      </c>
      <c r="G10" s="8" t="s">
        <v>98</v>
      </c>
      <c r="H10" s="8"/>
      <c r="I10" s="8"/>
      <c r="J10" s="8"/>
      <c r="K10" s="8" t="s">
        <v>327</v>
      </c>
    </row>
    <row r="11" spans="1:12">
      <c r="A11" s="8" t="s">
        <v>354</v>
      </c>
      <c r="B11" s="8" t="s">
        <v>320</v>
      </c>
      <c r="C11" s="8"/>
      <c r="D11" s="8"/>
      <c r="E11" s="8" t="s">
        <v>351</v>
      </c>
      <c r="F11" s="8">
        <v>100</v>
      </c>
      <c r="G11" s="8" t="s">
        <v>98</v>
      </c>
      <c r="H11" s="8"/>
      <c r="I11" s="8"/>
      <c r="J11" s="8"/>
      <c r="K11" s="8" t="s">
        <v>327</v>
      </c>
    </row>
    <row r="12" spans="1:12">
      <c r="A12" s="8" t="s">
        <v>357</v>
      </c>
      <c r="B12" s="8" t="s">
        <v>320</v>
      </c>
      <c r="C12" s="8"/>
      <c r="D12" s="8"/>
      <c r="E12" s="8" t="s">
        <v>351</v>
      </c>
      <c r="F12" s="8">
        <v>100</v>
      </c>
      <c r="G12" s="8" t="s">
        <v>98</v>
      </c>
      <c r="H12" s="8"/>
      <c r="I12" s="8"/>
      <c r="J12" s="8"/>
      <c r="K12" s="8" t="s">
        <v>327</v>
      </c>
    </row>
    <row r="13" spans="1:12">
      <c r="A13" s="8" t="s">
        <v>360</v>
      </c>
      <c r="B13" s="8" t="s">
        <v>320</v>
      </c>
      <c r="C13" s="8"/>
      <c r="D13" s="8"/>
      <c r="E13" s="8" t="s">
        <v>351</v>
      </c>
      <c r="F13" s="8">
        <v>100</v>
      </c>
      <c r="G13" s="8" t="s">
        <v>98</v>
      </c>
      <c r="H13" s="8"/>
      <c r="I13" s="8"/>
      <c r="J13" s="8"/>
      <c r="K13" s="8" t="s">
        <v>327</v>
      </c>
    </row>
    <row r="14" spans="1:12">
      <c r="A14" s="8" t="s">
        <v>363</v>
      </c>
      <c r="B14" s="8" t="s">
        <v>320</v>
      </c>
      <c r="C14" s="8"/>
      <c r="D14" s="8"/>
      <c r="E14" s="8" t="s">
        <v>351</v>
      </c>
      <c r="F14" s="8">
        <v>100</v>
      </c>
      <c r="G14" s="8" t="s">
        <v>98</v>
      </c>
      <c r="H14" s="8"/>
      <c r="I14" s="8"/>
      <c r="J14" s="8"/>
      <c r="K14" s="8" t="s">
        <v>327</v>
      </c>
    </row>
    <row r="15" spans="1:12">
      <c r="A15" s="8" t="s">
        <v>366</v>
      </c>
      <c r="B15" s="8" t="s">
        <v>320</v>
      </c>
      <c r="C15" s="8"/>
      <c r="D15" s="8"/>
      <c r="E15" s="8" t="s">
        <v>367</v>
      </c>
      <c r="F15" s="8"/>
      <c r="G15" s="8" t="s">
        <v>98</v>
      </c>
      <c r="H15" s="8"/>
      <c r="I15" s="8"/>
      <c r="J15" s="8"/>
      <c r="K15" s="8" t="s">
        <v>368</v>
      </c>
    </row>
    <row r="16" spans="1:12">
      <c r="A16" s="8" t="s">
        <v>371</v>
      </c>
      <c r="B16" s="8" t="s">
        <v>320</v>
      </c>
      <c r="C16" s="8"/>
      <c r="D16" s="8"/>
      <c r="E16" s="8" t="s">
        <v>367</v>
      </c>
      <c r="F16" s="8"/>
      <c r="G16" s="8" t="s">
        <v>98</v>
      </c>
      <c r="H16" s="8"/>
      <c r="I16" s="8"/>
      <c r="J16" s="8"/>
      <c r="K16" s="8" t="s">
        <v>368</v>
      </c>
    </row>
    <row r="17" spans="1:11">
      <c r="A17" s="8" t="s">
        <v>374</v>
      </c>
      <c r="B17" s="8" t="s">
        <v>320</v>
      </c>
      <c r="C17" s="8"/>
      <c r="D17" s="8"/>
      <c r="E17" s="8" t="s">
        <v>351</v>
      </c>
      <c r="F17" s="8">
        <v>100</v>
      </c>
      <c r="G17" s="8" t="s">
        <v>98</v>
      </c>
      <c r="H17" s="8"/>
      <c r="I17" s="8"/>
      <c r="J17" s="8"/>
      <c r="K17" s="8" t="s">
        <v>327</v>
      </c>
    </row>
    <row r="20" spans="1:11">
      <c r="A20" s="40" t="s">
        <v>3424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834A5-D34E-4377-A83D-B5B7F3517014}">
  <sheetPr>
    <tabColor rgb="FFFF0000"/>
  </sheetPr>
  <dimension ref="A1:N20"/>
  <sheetViews>
    <sheetView workbookViewId="0">
      <selection activeCell="C21" sqref="C21"/>
    </sheetView>
  </sheetViews>
  <sheetFormatPr defaultRowHeight="14.45"/>
  <cols>
    <col min="1" max="1" width="34.28515625" customWidth="1"/>
    <col min="2" max="2" width="19.140625" customWidth="1"/>
    <col min="3" max="3" width="31.8554687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17.28515625" bestFit="1" customWidth="1"/>
  </cols>
  <sheetData>
    <row r="1" spans="1:14" ht="76.5" customHeight="1">
      <c r="A1" s="1" t="s">
        <v>168</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3431</v>
      </c>
      <c r="B3" s="6" t="s">
        <v>320</v>
      </c>
      <c r="C3" s="6" t="s">
        <v>169</v>
      </c>
      <c r="D3" s="6"/>
      <c r="E3" s="6" t="s">
        <v>319</v>
      </c>
      <c r="F3" s="6"/>
      <c r="G3" s="6" t="s">
        <v>98</v>
      </c>
      <c r="H3" s="6" t="s">
        <v>321</v>
      </c>
      <c r="I3" s="6"/>
      <c r="J3" s="6"/>
      <c r="K3" s="6">
        <v>-1</v>
      </c>
      <c r="L3" s="46"/>
      <c r="M3" s="7"/>
      <c r="N3" s="46">
        <v>1</v>
      </c>
    </row>
    <row r="4" spans="1:14">
      <c r="A4" s="9" t="s">
        <v>630</v>
      </c>
      <c r="B4" s="9" t="s">
        <v>21</v>
      </c>
      <c r="C4" s="9" t="s">
        <v>169</v>
      </c>
      <c r="D4" s="9" t="s">
        <v>168</v>
      </c>
      <c r="E4" s="9" t="s">
        <v>325</v>
      </c>
      <c r="F4" s="9">
        <v>1</v>
      </c>
      <c r="G4" s="9" t="s">
        <v>98</v>
      </c>
      <c r="H4" s="9"/>
      <c r="I4" s="9"/>
      <c r="J4" s="9"/>
      <c r="K4" s="9"/>
      <c r="L4" s="46"/>
      <c r="M4" s="7"/>
      <c r="N4" s="46">
        <v>2</v>
      </c>
    </row>
    <row r="5" spans="1:14">
      <c r="A5" s="7" t="s">
        <v>634</v>
      </c>
      <c r="B5" s="7" t="s">
        <v>21</v>
      </c>
      <c r="C5" s="7" t="s">
        <v>169</v>
      </c>
      <c r="D5" s="7" t="s">
        <v>2670</v>
      </c>
      <c r="E5" s="7" t="s">
        <v>325</v>
      </c>
      <c r="F5" s="7">
        <v>255</v>
      </c>
      <c r="G5" s="7" t="s">
        <v>98</v>
      </c>
      <c r="H5" s="7"/>
      <c r="I5" s="7"/>
      <c r="J5" s="7"/>
      <c r="K5" s="7"/>
      <c r="L5" s="46"/>
      <c r="M5" s="7"/>
      <c r="N5" s="46">
        <v>3</v>
      </c>
    </row>
    <row r="6" spans="1:14" s="39" customFormat="1">
      <c r="A6" s="22" t="s">
        <v>3432</v>
      </c>
      <c r="B6" s="22" t="s">
        <v>21</v>
      </c>
      <c r="C6" s="22" t="s">
        <v>169</v>
      </c>
      <c r="D6" s="22" t="s">
        <v>3432</v>
      </c>
      <c r="E6" s="22" t="s">
        <v>325</v>
      </c>
      <c r="F6" s="22">
        <v>2</v>
      </c>
      <c r="G6" s="22" t="s">
        <v>98</v>
      </c>
      <c r="H6" s="22" t="s">
        <v>3433</v>
      </c>
      <c r="I6" s="22"/>
      <c r="J6" s="22"/>
      <c r="K6" s="22"/>
      <c r="L6" s="46"/>
      <c r="M6" s="7"/>
      <c r="N6" s="46">
        <v>4</v>
      </c>
    </row>
    <row r="7" spans="1:14">
      <c r="A7" s="7" t="s">
        <v>345</v>
      </c>
      <c r="B7" s="7" t="s">
        <v>21</v>
      </c>
      <c r="C7" s="7" t="s">
        <v>169</v>
      </c>
      <c r="D7" s="7" t="s">
        <v>3434</v>
      </c>
      <c r="E7" s="7" t="s">
        <v>346</v>
      </c>
      <c r="F7" s="7"/>
      <c r="G7" s="7" t="s">
        <v>98</v>
      </c>
      <c r="H7" s="7"/>
      <c r="I7" s="7"/>
      <c r="J7" s="7"/>
      <c r="K7" s="7"/>
      <c r="L7" s="46"/>
      <c r="M7" s="7"/>
      <c r="N7" s="46">
        <v>5</v>
      </c>
    </row>
    <row r="8" spans="1:14">
      <c r="A8" s="7" t="s">
        <v>1590</v>
      </c>
      <c r="B8" s="7" t="s">
        <v>21</v>
      </c>
      <c r="C8" s="7" t="s">
        <v>169</v>
      </c>
      <c r="D8" s="7" t="s">
        <v>3435</v>
      </c>
      <c r="E8" s="7" t="s">
        <v>367</v>
      </c>
      <c r="F8" s="7"/>
      <c r="G8" s="7" t="s">
        <v>98</v>
      </c>
      <c r="H8" s="7"/>
      <c r="I8" s="7"/>
      <c r="J8" s="7"/>
      <c r="K8" s="7"/>
      <c r="L8" s="46"/>
      <c r="M8" s="7"/>
      <c r="N8" s="46">
        <v>6</v>
      </c>
    </row>
    <row r="9" spans="1:14">
      <c r="A9" s="8" t="s">
        <v>350</v>
      </c>
      <c r="B9" s="8" t="s">
        <v>320</v>
      </c>
      <c r="C9" s="8"/>
      <c r="D9" s="8"/>
      <c r="E9" s="8" t="s">
        <v>351</v>
      </c>
      <c r="F9" s="8">
        <v>100</v>
      </c>
      <c r="G9" s="8" t="s">
        <v>98</v>
      </c>
      <c r="H9" s="8"/>
      <c r="I9" s="8"/>
      <c r="J9" s="8"/>
      <c r="K9" s="8" t="s">
        <v>327</v>
      </c>
      <c r="L9" s="46"/>
      <c r="M9" s="7"/>
      <c r="N9" s="46">
        <v>7</v>
      </c>
    </row>
    <row r="10" spans="1:14">
      <c r="A10" s="8" t="s">
        <v>354</v>
      </c>
      <c r="B10" s="8" t="s">
        <v>320</v>
      </c>
      <c r="C10" s="8"/>
      <c r="D10" s="8"/>
      <c r="E10" s="8" t="s">
        <v>351</v>
      </c>
      <c r="F10" s="8">
        <v>100</v>
      </c>
      <c r="G10" s="8" t="s">
        <v>98</v>
      </c>
      <c r="H10" s="8"/>
      <c r="I10" s="8"/>
      <c r="J10" s="8"/>
      <c r="K10" s="8" t="s">
        <v>327</v>
      </c>
      <c r="L10" s="46"/>
      <c r="M10" s="7"/>
      <c r="N10" s="46">
        <v>8</v>
      </c>
    </row>
    <row r="11" spans="1:14">
      <c r="A11" s="8" t="s">
        <v>357</v>
      </c>
      <c r="B11" s="8" t="s">
        <v>320</v>
      </c>
      <c r="C11" s="8"/>
      <c r="D11" s="8"/>
      <c r="E11" s="8" t="s">
        <v>351</v>
      </c>
      <c r="F11" s="8">
        <v>100</v>
      </c>
      <c r="G11" s="8" t="s">
        <v>98</v>
      </c>
      <c r="H11" s="8"/>
      <c r="I11" s="8"/>
      <c r="J11" s="8"/>
      <c r="K11" s="8" t="s">
        <v>327</v>
      </c>
      <c r="L11" s="46"/>
      <c r="M11" s="7"/>
      <c r="N11" s="46">
        <v>9</v>
      </c>
    </row>
    <row r="12" spans="1:14">
      <c r="A12" s="8" t="s">
        <v>360</v>
      </c>
      <c r="B12" s="8" t="s">
        <v>320</v>
      </c>
      <c r="C12" s="8"/>
      <c r="D12" s="8"/>
      <c r="E12" s="8" t="s">
        <v>351</v>
      </c>
      <c r="F12" s="8">
        <v>100</v>
      </c>
      <c r="G12" s="8" t="s">
        <v>98</v>
      </c>
      <c r="H12" s="8"/>
      <c r="I12" s="8"/>
      <c r="J12" s="8"/>
      <c r="K12" s="8" t="s">
        <v>327</v>
      </c>
      <c r="L12" s="46"/>
      <c r="M12" s="7"/>
      <c r="N12" s="46">
        <v>10</v>
      </c>
    </row>
    <row r="13" spans="1:14">
      <c r="A13" s="8" t="s">
        <v>363</v>
      </c>
      <c r="B13" s="8" t="s">
        <v>320</v>
      </c>
      <c r="C13" s="8"/>
      <c r="D13" s="8"/>
      <c r="E13" s="8" t="s">
        <v>351</v>
      </c>
      <c r="F13" s="8">
        <v>100</v>
      </c>
      <c r="G13" s="8" t="s">
        <v>98</v>
      </c>
      <c r="H13" s="8"/>
      <c r="I13" s="8"/>
      <c r="J13" s="8"/>
      <c r="K13" s="8" t="s">
        <v>327</v>
      </c>
      <c r="L13" s="46"/>
      <c r="M13" s="7"/>
      <c r="N13" s="46">
        <v>11</v>
      </c>
    </row>
    <row r="14" spans="1:14">
      <c r="A14" s="8" t="s">
        <v>366</v>
      </c>
      <c r="B14" s="8" t="s">
        <v>320</v>
      </c>
      <c r="C14" s="8"/>
      <c r="D14" s="8"/>
      <c r="E14" s="8" t="s">
        <v>367</v>
      </c>
      <c r="F14" s="8"/>
      <c r="G14" s="8" t="s">
        <v>98</v>
      </c>
      <c r="H14" s="8"/>
      <c r="I14" s="8"/>
      <c r="J14" s="8"/>
      <c r="K14" s="8" t="s">
        <v>368</v>
      </c>
      <c r="L14" s="46"/>
      <c r="M14" s="7"/>
      <c r="N14" s="46">
        <v>12</v>
      </c>
    </row>
    <row r="15" spans="1:14">
      <c r="A15" s="8" t="s">
        <v>371</v>
      </c>
      <c r="B15" s="8" t="s">
        <v>320</v>
      </c>
      <c r="C15" s="8"/>
      <c r="D15" s="8"/>
      <c r="E15" s="8" t="s">
        <v>367</v>
      </c>
      <c r="F15" s="8"/>
      <c r="G15" s="8" t="s">
        <v>98</v>
      </c>
      <c r="H15" s="8"/>
      <c r="I15" s="8"/>
      <c r="J15" s="8"/>
      <c r="K15" s="8" t="s">
        <v>368</v>
      </c>
      <c r="L15" s="46"/>
      <c r="M15" s="7"/>
      <c r="N15" s="46">
        <v>13</v>
      </c>
    </row>
    <row r="16" spans="1:14">
      <c r="A16" s="8" t="s">
        <v>374</v>
      </c>
      <c r="B16" s="8" t="s">
        <v>320</v>
      </c>
      <c r="C16" s="8"/>
      <c r="D16" s="8"/>
      <c r="E16" s="8" t="s">
        <v>351</v>
      </c>
      <c r="F16" s="8">
        <v>100</v>
      </c>
      <c r="G16" s="8" t="s">
        <v>98</v>
      </c>
      <c r="H16" s="8"/>
      <c r="I16" s="8"/>
      <c r="J16" s="8"/>
      <c r="K16" s="8" t="s">
        <v>327</v>
      </c>
      <c r="L16" s="46"/>
      <c r="M16" s="7"/>
      <c r="N16" s="46">
        <v>14</v>
      </c>
    </row>
    <row r="19" spans="1:1">
      <c r="A19" s="40" t="s">
        <v>3436</v>
      </c>
    </row>
    <row r="20" spans="1:1">
      <c r="A20" s="40" t="s">
        <v>3437</v>
      </c>
    </row>
  </sheetData>
  <pageMargins left="0.7" right="0.7" top="0.75" bottom="0.75" header="0.3" footer="0.3"/>
  <legacy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rgb="FFFF0000"/>
  </sheetPr>
  <dimension ref="A1:L19"/>
  <sheetViews>
    <sheetView workbookViewId="0">
      <selection activeCell="F29" sqref="F29"/>
    </sheetView>
  </sheetViews>
  <sheetFormatPr defaultRowHeight="14.45"/>
  <cols>
    <col min="1" max="1" width="25.7109375" customWidth="1"/>
    <col min="2" max="4" width="20.7109375" customWidth="1"/>
    <col min="5" max="7" width="15.7109375" customWidth="1"/>
    <col min="8" max="12" width="20.7109375" customWidth="1"/>
  </cols>
  <sheetData>
    <row r="1" spans="1:12" ht="60" customHeight="1">
      <c r="A1" s="1" t="s">
        <v>173</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3438</v>
      </c>
      <c r="B3" s="6" t="s">
        <v>320</v>
      </c>
      <c r="C3" s="6"/>
      <c r="D3" s="6"/>
      <c r="E3" s="6" t="s">
        <v>319</v>
      </c>
      <c r="F3" s="6">
        <v>0</v>
      </c>
      <c r="G3" s="6" t="s">
        <v>98</v>
      </c>
      <c r="H3" s="6" t="s">
        <v>321</v>
      </c>
      <c r="I3" s="6"/>
      <c r="J3" s="6"/>
      <c r="K3" s="6">
        <v>-1</v>
      </c>
    </row>
    <row r="4" spans="1:12">
      <c r="A4" s="7" t="s">
        <v>3439</v>
      </c>
      <c r="B4" s="7" t="s">
        <v>12</v>
      </c>
      <c r="C4" s="7" t="s">
        <v>174</v>
      </c>
      <c r="D4" s="7" t="s">
        <v>3440</v>
      </c>
      <c r="E4" s="7" t="s">
        <v>431</v>
      </c>
      <c r="F4" s="7">
        <v>0</v>
      </c>
      <c r="G4" s="7" t="s">
        <v>98</v>
      </c>
      <c r="H4" s="7" t="s">
        <v>3441</v>
      </c>
      <c r="I4" s="7"/>
      <c r="J4" s="7" t="s">
        <v>942</v>
      </c>
      <c r="K4" s="7">
        <v>-1</v>
      </c>
    </row>
    <row r="5" spans="1:12">
      <c r="A5" s="9" t="s">
        <v>3442</v>
      </c>
      <c r="B5" s="9" t="s">
        <v>12</v>
      </c>
      <c r="C5" s="9" t="s">
        <v>174</v>
      </c>
      <c r="D5" s="9" t="s">
        <v>3443</v>
      </c>
      <c r="E5" s="9" t="s">
        <v>351</v>
      </c>
      <c r="F5" s="9">
        <v>3</v>
      </c>
      <c r="G5" s="9" t="s">
        <v>98</v>
      </c>
      <c r="H5" s="9"/>
      <c r="I5" s="9"/>
      <c r="J5" s="9"/>
      <c r="K5" s="9" t="s">
        <v>327</v>
      </c>
    </row>
    <row r="6" spans="1:12">
      <c r="A6" s="7" t="s">
        <v>3444</v>
      </c>
      <c r="B6" s="7" t="s">
        <v>12</v>
      </c>
      <c r="C6" s="7" t="s">
        <v>174</v>
      </c>
      <c r="D6" s="7" t="s">
        <v>3445</v>
      </c>
      <c r="E6" s="7" t="s">
        <v>351</v>
      </c>
      <c r="F6" s="7">
        <v>100</v>
      </c>
      <c r="G6" s="7" t="s">
        <v>98</v>
      </c>
      <c r="H6" s="7"/>
      <c r="I6" s="7"/>
      <c r="J6" s="7"/>
      <c r="K6" s="7" t="s">
        <v>327</v>
      </c>
    </row>
    <row r="7" spans="1:12">
      <c r="A7" s="7" t="s">
        <v>3446</v>
      </c>
      <c r="B7" s="7" t="s">
        <v>12</v>
      </c>
      <c r="C7" s="7" t="s">
        <v>174</v>
      </c>
      <c r="D7" s="7" t="s">
        <v>3447</v>
      </c>
      <c r="E7" s="7" t="s">
        <v>351</v>
      </c>
      <c r="F7" s="7">
        <v>50</v>
      </c>
      <c r="G7" s="7" t="s">
        <v>74</v>
      </c>
      <c r="H7" s="7"/>
      <c r="I7" s="7"/>
      <c r="J7" s="7"/>
      <c r="K7" s="7" t="s">
        <v>327</v>
      </c>
    </row>
    <row r="8" spans="1:12">
      <c r="A8" s="7" t="s">
        <v>1044</v>
      </c>
      <c r="B8" s="7" t="s">
        <v>12</v>
      </c>
      <c r="C8" s="7" t="s">
        <v>174</v>
      </c>
      <c r="D8" s="7" t="s">
        <v>1045</v>
      </c>
      <c r="E8" s="7" t="s">
        <v>351</v>
      </c>
      <c r="F8" s="7">
        <v>2</v>
      </c>
      <c r="G8" s="7" t="s">
        <v>74</v>
      </c>
      <c r="H8" s="7"/>
      <c r="I8" s="7"/>
      <c r="J8" s="7"/>
      <c r="K8" s="7" t="s">
        <v>327</v>
      </c>
    </row>
    <row r="9" spans="1:12">
      <c r="A9" s="8" t="s">
        <v>350</v>
      </c>
      <c r="B9" s="8" t="s">
        <v>320</v>
      </c>
      <c r="C9" s="8"/>
      <c r="D9" s="8"/>
      <c r="E9" s="8" t="s">
        <v>351</v>
      </c>
      <c r="F9" s="8">
        <v>100</v>
      </c>
      <c r="G9" s="8" t="s">
        <v>98</v>
      </c>
      <c r="H9" s="8"/>
      <c r="I9" s="8"/>
      <c r="J9" s="8"/>
      <c r="K9" s="8" t="s">
        <v>327</v>
      </c>
    </row>
    <row r="10" spans="1:12">
      <c r="A10" s="8" t="s">
        <v>354</v>
      </c>
      <c r="B10" s="8" t="s">
        <v>320</v>
      </c>
      <c r="C10" s="8"/>
      <c r="D10" s="8"/>
      <c r="E10" s="8" t="s">
        <v>351</v>
      </c>
      <c r="F10" s="8">
        <v>100</v>
      </c>
      <c r="G10" s="8" t="s">
        <v>98</v>
      </c>
      <c r="H10" s="8"/>
      <c r="I10" s="8"/>
      <c r="J10" s="8"/>
      <c r="K10" s="8" t="s">
        <v>327</v>
      </c>
    </row>
    <row r="11" spans="1:12">
      <c r="A11" s="8" t="s">
        <v>357</v>
      </c>
      <c r="B11" s="8" t="s">
        <v>320</v>
      </c>
      <c r="C11" s="8"/>
      <c r="D11" s="8"/>
      <c r="E11" s="8" t="s">
        <v>351</v>
      </c>
      <c r="F11" s="8">
        <v>100</v>
      </c>
      <c r="G11" s="8" t="s">
        <v>98</v>
      </c>
      <c r="H11" s="8"/>
      <c r="I11" s="8"/>
      <c r="J11" s="8"/>
      <c r="K11" s="8" t="s">
        <v>327</v>
      </c>
    </row>
    <row r="12" spans="1:12">
      <c r="A12" s="8" t="s">
        <v>360</v>
      </c>
      <c r="B12" s="8" t="s">
        <v>320</v>
      </c>
      <c r="C12" s="8"/>
      <c r="D12" s="8"/>
      <c r="E12" s="8" t="s">
        <v>351</v>
      </c>
      <c r="F12" s="8">
        <v>100</v>
      </c>
      <c r="G12" s="8" t="s">
        <v>98</v>
      </c>
      <c r="H12" s="8"/>
      <c r="I12" s="8"/>
      <c r="J12" s="8"/>
      <c r="K12" s="8" t="s">
        <v>327</v>
      </c>
    </row>
    <row r="13" spans="1:12">
      <c r="A13" s="8" t="s">
        <v>363</v>
      </c>
      <c r="B13" s="8" t="s">
        <v>320</v>
      </c>
      <c r="C13" s="8"/>
      <c r="D13" s="8"/>
      <c r="E13" s="8" t="s">
        <v>351</v>
      </c>
      <c r="F13" s="8">
        <v>100</v>
      </c>
      <c r="G13" s="8" t="s">
        <v>98</v>
      </c>
      <c r="H13" s="8"/>
      <c r="I13" s="8"/>
      <c r="J13" s="8"/>
      <c r="K13" s="8" t="s">
        <v>327</v>
      </c>
    </row>
    <row r="14" spans="1:12">
      <c r="A14" s="8" t="s">
        <v>366</v>
      </c>
      <c r="B14" s="8" t="s">
        <v>320</v>
      </c>
      <c r="C14" s="8"/>
      <c r="D14" s="8"/>
      <c r="E14" s="8" t="s">
        <v>367</v>
      </c>
      <c r="F14" s="8"/>
      <c r="G14" s="8" t="s">
        <v>98</v>
      </c>
      <c r="H14" s="8"/>
      <c r="I14" s="8"/>
      <c r="J14" s="8"/>
      <c r="K14" s="8" t="s">
        <v>368</v>
      </c>
    </row>
    <row r="15" spans="1:12">
      <c r="A15" s="8" t="s">
        <v>371</v>
      </c>
      <c r="B15" s="8" t="s">
        <v>320</v>
      </c>
      <c r="C15" s="8"/>
      <c r="D15" s="8"/>
      <c r="E15" s="8" t="s">
        <v>367</v>
      </c>
      <c r="F15" s="8"/>
      <c r="G15" s="8" t="s">
        <v>98</v>
      </c>
      <c r="H15" s="8"/>
      <c r="I15" s="8"/>
      <c r="J15" s="8"/>
      <c r="K15" s="8" t="s">
        <v>368</v>
      </c>
    </row>
    <row r="16" spans="1:12">
      <c r="A16" s="8" t="s">
        <v>374</v>
      </c>
      <c r="B16" s="8" t="s">
        <v>320</v>
      </c>
      <c r="C16" s="8"/>
      <c r="D16" s="8"/>
      <c r="E16" s="8" t="s">
        <v>351</v>
      </c>
      <c r="F16" s="8">
        <v>100</v>
      </c>
      <c r="G16" s="8" t="s">
        <v>98</v>
      </c>
      <c r="H16" s="8"/>
      <c r="I16" s="8"/>
      <c r="J16" s="8"/>
      <c r="K16" s="8" t="s">
        <v>327</v>
      </c>
    </row>
    <row r="19" spans="1:1">
      <c r="A19" s="40" t="s">
        <v>3448</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rgb="FFFF0000"/>
  </sheetPr>
  <dimension ref="A1:N24"/>
  <sheetViews>
    <sheetView topLeftCell="C1" workbookViewId="0">
      <selection activeCell="C24" sqref="C24"/>
    </sheetView>
  </sheetViews>
  <sheetFormatPr defaultRowHeight="14.45"/>
  <cols>
    <col min="1" max="1" width="36.42578125" customWidth="1"/>
    <col min="2" max="4" width="20.7109375"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184</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3449</v>
      </c>
      <c r="B3" s="6" t="s">
        <v>320</v>
      </c>
      <c r="C3" s="6"/>
      <c r="D3" s="6"/>
      <c r="E3" s="6" t="s">
        <v>319</v>
      </c>
      <c r="F3" s="6"/>
      <c r="G3" s="6" t="s">
        <v>98</v>
      </c>
      <c r="H3" s="6" t="s">
        <v>321</v>
      </c>
      <c r="I3" s="6"/>
      <c r="J3" s="6"/>
      <c r="K3" s="6">
        <v>-1</v>
      </c>
      <c r="L3" s="46"/>
      <c r="M3" s="7"/>
      <c r="N3" s="46">
        <v>1</v>
      </c>
    </row>
    <row r="4" spans="1:14">
      <c r="A4" s="27" t="s">
        <v>3391</v>
      </c>
      <c r="B4" s="27" t="s">
        <v>12</v>
      </c>
      <c r="C4" s="27" t="s">
        <v>185</v>
      </c>
      <c r="D4" s="27" t="s">
        <v>2155</v>
      </c>
      <c r="E4" s="27" t="s">
        <v>351</v>
      </c>
      <c r="F4" s="27">
        <v>5</v>
      </c>
      <c r="G4" s="27" t="s">
        <v>98</v>
      </c>
      <c r="H4" s="27" t="s">
        <v>3450</v>
      </c>
      <c r="I4" s="27"/>
      <c r="J4" s="27"/>
      <c r="K4" s="27" t="s">
        <v>327</v>
      </c>
      <c r="L4" s="46"/>
      <c r="M4" s="7"/>
      <c r="N4" s="46">
        <v>2</v>
      </c>
    </row>
    <row r="5" spans="1:14">
      <c r="A5" s="27" t="s">
        <v>3438</v>
      </c>
      <c r="B5" s="27" t="s">
        <v>12</v>
      </c>
      <c r="C5" s="27" t="s">
        <v>185</v>
      </c>
      <c r="D5" s="27" t="s">
        <v>3443</v>
      </c>
      <c r="E5" s="27" t="s">
        <v>351</v>
      </c>
      <c r="F5" s="27">
        <v>3</v>
      </c>
      <c r="G5" s="27" t="s">
        <v>98</v>
      </c>
      <c r="H5" s="27" t="s">
        <v>3451</v>
      </c>
      <c r="I5" s="27"/>
      <c r="J5" s="27"/>
      <c r="K5" s="27" t="s">
        <v>327</v>
      </c>
      <c r="L5" s="46"/>
      <c r="M5" s="7"/>
      <c r="N5" s="46">
        <v>3</v>
      </c>
    </row>
    <row r="6" spans="1:14">
      <c r="A6" s="9" t="s">
        <v>3452</v>
      </c>
      <c r="B6" s="9" t="s">
        <v>12</v>
      </c>
      <c r="C6" s="9" t="s">
        <v>185</v>
      </c>
      <c r="D6" s="9" t="s">
        <v>3453</v>
      </c>
      <c r="E6" s="9" t="s">
        <v>351</v>
      </c>
      <c r="F6" s="9">
        <v>20</v>
      </c>
      <c r="G6" s="9" t="s">
        <v>98</v>
      </c>
      <c r="H6" s="9"/>
      <c r="I6" s="9"/>
      <c r="J6" s="9"/>
      <c r="K6" s="9" t="s">
        <v>327</v>
      </c>
      <c r="L6" s="46"/>
      <c r="M6" s="7"/>
      <c r="N6" s="46">
        <v>4</v>
      </c>
    </row>
    <row r="7" spans="1:14">
      <c r="A7" s="7" t="s">
        <v>3454</v>
      </c>
      <c r="B7" s="7" t="s">
        <v>12</v>
      </c>
      <c r="C7" s="7" t="s">
        <v>185</v>
      </c>
      <c r="D7" s="7" t="s">
        <v>3455</v>
      </c>
      <c r="E7" s="7" t="s">
        <v>431</v>
      </c>
      <c r="F7" s="7"/>
      <c r="G7" s="7" t="s">
        <v>98</v>
      </c>
      <c r="H7" s="7" t="s">
        <v>3456</v>
      </c>
      <c r="I7" s="7"/>
      <c r="J7" s="7" t="s">
        <v>942</v>
      </c>
      <c r="K7" s="7">
        <v>-1</v>
      </c>
      <c r="L7" s="46"/>
      <c r="M7" s="7"/>
      <c r="N7" s="46">
        <v>5</v>
      </c>
    </row>
    <row r="8" spans="1:14">
      <c r="A8" s="7" t="s">
        <v>3457</v>
      </c>
      <c r="B8" s="7" t="s">
        <v>12</v>
      </c>
      <c r="C8" s="7" t="s">
        <v>185</v>
      </c>
      <c r="D8" s="7" t="s">
        <v>3458</v>
      </c>
      <c r="E8" s="7" t="s">
        <v>351</v>
      </c>
      <c r="F8" s="7">
        <v>100</v>
      </c>
      <c r="G8" s="7" t="s">
        <v>98</v>
      </c>
      <c r="H8" s="7"/>
      <c r="I8" s="7"/>
      <c r="J8" s="7"/>
      <c r="K8" s="7" t="s">
        <v>327</v>
      </c>
      <c r="L8" s="46"/>
      <c r="M8" s="7"/>
      <c r="N8" s="46">
        <v>6</v>
      </c>
    </row>
    <row r="9" spans="1:14">
      <c r="A9" s="22" t="s">
        <v>3459</v>
      </c>
      <c r="B9" s="22" t="s">
        <v>12</v>
      </c>
      <c r="C9" s="22" t="s">
        <v>185</v>
      </c>
      <c r="D9" s="22" t="s">
        <v>3460</v>
      </c>
      <c r="E9" s="22" t="s">
        <v>431</v>
      </c>
      <c r="F9" s="22"/>
      <c r="G9" s="22" t="s">
        <v>74</v>
      </c>
      <c r="H9" s="22" t="s">
        <v>3461</v>
      </c>
      <c r="I9" s="22"/>
      <c r="J9" s="22"/>
      <c r="K9" s="22">
        <v>-1</v>
      </c>
      <c r="L9" s="46"/>
      <c r="M9" s="7"/>
      <c r="N9" s="46">
        <v>7</v>
      </c>
    </row>
    <row r="10" spans="1:14">
      <c r="A10" s="22" t="s">
        <v>3462</v>
      </c>
      <c r="B10" s="22" t="s">
        <v>12</v>
      </c>
      <c r="C10" s="22" t="s">
        <v>185</v>
      </c>
      <c r="D10" s="22" t="s">
        <v>3463</v>
      </c>
      <c r="E10" s="22" t="s">
        <v>431</v>
      </c>
      <c r="F10" s="22"/>
      <c r="G10" s="22" t="s">
        <v>74</v>
      </c>
      <c r="H10" s="22" t="s">
        <v>3031</v>
      </c>
      <c r="I10" s="22"/>
      <c r="J10" s="22"/>
      <c r="K10" s="22">
        <v>-1</v>
      </c>
      <c r="L10" s="46"/>
      <c r="M10" s="7"/>
      <c r="N10" s="46">
        <v>8</v>
      </c>
    </row>
    <row r="11" spans="1:14">
      <c r="A11" s="7" t="s">
        <v>345</v>
      </c>
      <c r="B11" s="7" t="s">
        <v>12</v>
      </c>
      <c r="C11" s="7" t="s">
        <v>185</v>
      </c>
      <c r="D11" s="7" t="s">
        <v>347</v>
      </c>
      <c r="E11" s="7" t="s">
        <v>346</v>
      </c>
      <c r="F11" s="7"/>
      <c r="G11" s="7" t="s">
        <v>98</v>
      </c>
      <c r="H11" s="7"/>
      <c r="I11" s="7"/>
      <c r="J11" s="7"/>
      <c r="K11" s="7">
        <v>-1</v>
      </c>
      <c r="L11" s="46"/>
      <c r="M11" s="7"/>
      <c r="N11" s="46">
        <v>9</v>
      </c>
    </row>
    <row r="12" spans="1:14">
      <c r="A12" s="7" t="s">
        <v>1590</v>
      </c>
      <c r="B12" s="7" t="s">
        <v>12</v>
      </c>
      <c r="C12" s="7" t="s">
        <v>185</v>
      </c>
      <c r="D12" s="7" t="s">
        <v>2204</v>
      </c>
      <c r="E12" s="7" t="s">
        <v>367</v>
      </c>
      <c r="F12" s="7"/>
      <c r="G12" s="7" t="s">
        <v>98</v>
      </c>
      <c r="H12" s="7"/>
      <c r="I12" s="7"/>
      <c r="J12" s="7"/>
      <c r="K12" s="7" t="s">
        <v>368</v>
      </c>
      <c r="L12" s="46"/>
      <c r="M12" s="7"/>
      <c r="N12" s="46">
        <v>10</v>
      </c>
    </row>
    <row r="13" spans="1:14">
      <c r="A13" s="7" t="s">
        <v>3354</v>
      </c>
      <c r="B13" s="7" t="s">
        <v>12</v>
      </c>
      <c r="C13" s="7" t="s">
        <v>185</v>
      </c>
      <c r="D13" s="7" t="s">
        <v>3355</v>
      </c>
      <c r="E13" s="7" t="s">
        <v>351</v>
      </c>
      <c r="F13" s="7">
        <v>30</v>
      </c>
      <c r="G13" s="7" t="s">
        <v>98</v>
      </c>
      <c r="H13" s="7"/>
      <c r="I13" s="7"/>
      <c r="J13" s="7"/>
      <c r="K13" s="7" t="s">
        <v>327</v>
      </c>
      <c r="L13" s="46"/>
      <c r="M13" s="7"/>
      <c r="N13" s="46">
        <v>11</v>
      </c>
    </row>
    <row r="14" spans="1:14">
      <c r="A14" s="8" t="s">
        <v>350</v>
      </c>
      <c r="B14" s="8" t="s">
        <v>320</v>
      </c>
      <c r="C14" s="8"/>
      <c r="D14" s="8"/>
      <c r="E14" s="8" t="s">
        <v>351</v>
      </c>
      <c r="F14" s="8">
        <v>100</v>
      </c>
      <c r="G14" s="8" t="s">
        <v>98</v>
      </c>
      <c r="H14" s="8"/>
      <c r="I14" s="8"/>
      <c r="J14" s="8"/>
      <c r="K14" s="8" t="s">
        <v>327</v>
      </c>
      <c r="L14" s="46"/>
      <c r="M14" s="7"/>
      <c r="N14" s="46">
        <v>12</v>
      </c>
    </row>
    <row r="15" spans="1:14">
      <c r="A15" s="8" t="s">
        <v>354</v>
      </c>
      <c r="B15" s="8" t="s">
        <v>320</v>
      </c>
      <c r="C15" s="8"/>
      <c r="D15" s="8"/>
      <c r="E15" s="8" t="s">
        <v>351</v>
      </c>
      <c r="F15" s="8">
        <v>100</v>
      </c>
      <c r="G15" s="8" t="s">
        <v>98</v>
      </c>
      <c r="H15" s="8"/>
      <c r="I15" s="8"/>
      <c r="J15" s="8"/>
      <c r="K15" s="8" t="s">
        <v>327</v>
      </c>
      <c r="L15" s="46"/>
      <c r="M15" s="7"/>
      <c r="N15" s="46">
        <v>13</v>
      </c>
    </row>
    <row r="16" spans="1:14">
      <c r="A16" s="8" t="s">
        <v>357</v>
      </c>
      <c r="B16" s="8" t="s">
        <v>320</v>
      </c>
      <c r="C16" s="8"/>
      <c r="D16" s="8"/>
      <c r="E16" s="8" t="s">
        <v>351</v>
      </c>
      <c r="F16" s="8">
        <v>100</v>
      </c>
      <c r="G16" s="8" t="s">
        <v>98</v>
      </c>
      <c r="H16" s="8"/>
      <c r="I16" s="8"/>
      <c r="J16" s="8"/>
      <c r="K16" s="8" t="s">
        <v>327</v>
      </c>
      <c r="L16" s="46"/>
      <c r="M16" s="7"/>
      <c r="N16" s="46">
        <v>14</v>
      </c>
    </row>
    <row r="17" spans="1:14">
      <c r="A17" s="8" t="s">
        <v>360</v>
      </c>
      <c r="B17" s="8" t="s">
        <v>320</v>
      </c>
      <c r="C17" s="8"/>
      <c r="D17" s="8"/>
      <c r="E17" s="8" t="s">
        <v>351</v>
      </c>
      <c r="F17" s="8">
        <v>100</v>
      </c>
      <c r="G17" s="8" t="s">
        <v>98</v>
      </c>
      <c r="H17" s="8"/>
      <c r="I17" s="8"/>
      <c r="J17" s="8"/>
      <c r="K17" s="8" t="s">
        <v>327</v>
      </c>
      <c r="L17" s="46"/>
      <c r="M17" s="7"/>
      <c r="N17" s="46">
        <v>15</v>
      </c>
    </row>
    <row r="18" spans="1:14">
      <c r="A18" s="8" t="s">
        <v>363</v>
      </c>
      <c r="B18" s="8" t="s">
        <v>320</v>
      </c>
      <c r="C18" s="8"/>
      <c r="D18" s="8"/>
      <c r="E18" s="8" t="s">
        <v>351</v>
      </c>
      <c r="F18" s="8">
        <v>100</v>
      </c>
      <c r="G18" s="8" t="s">
        <v>98</v>
      </c>
      <c r="H18" s="8"/>
      <c r="I18" s="8"/>
      <c r="J18" s="8"/>
      <c r="K18" s="8" t="s">
        <v>327</v>
      </c>
      <c r="L18" s="46"/>
      <c r="M18" s="7"/>
      <c r="N18" s="46">
        <v>16</v>
      </c>
    </row>
    <row r="19" spans="1:14">
      <c r="A19" s="8" t="s">
        <v>366</v>
      </c>
      <c r="B19" s="8" t="s">
        <v>320</v>
      </c>
      <c r="C19" s="8"/>
      <c r="D19" s="8"/>
      <c r="E19" s="8" t="s">
        <v>367</v>
      </c>
      <c r="F19" s="8"/>
      <c r="G19" s="8" t="s">
        <v>98</v>
      </c>
      <c r="H19" s="8"/>
      <c r="I19" s="8"/>
      <c r="J19" s="8"/>
      <c r="K19" s="8" t="s">
        <v>368</v>
      </c>
      <c r="L19" s="46"/>
      <c r="M19" s="7"/>
      <c r="N19" s="46">
        <v>17</v>
      </c>
    </row>
    <row r="20" spans="1:14">
      <c r="A20" s="8" t="s">
        <v>371</v>
      </c>
      <c r="B20" s="8" t="s">
        <v>320</v>
      </c>
      <c r="C20" s="8"/>
      <c r="D20" s="8"/>
      <c r="E20" s="8" t="s">
        <v>367</v>
      </c>
      <c r="F20" s="8"/>
      <c r="G20" s="8" t="s">
        <v>98</v>
      </c>
      <c r="H20" s="8"/>
      <c r="I20" s="8"/>
      <c r="J20" s="8"/>
      <c r="K20" s="8" t="s">
        <v>368</v>
      </c>
      <c r="L20" s="46"/>
      <c r="M20" s="7"/>
      <c r="N20" s="46">
        <v>18</v>
      </c>
    </row>
    <row r="21" spans="1:14">
      <c r="A21" s="8" t="s">
        <v>374</v>
      </c>
      <c r="B21" s="8" t="s">
        <v>320</v>
      </c>
      <c r="C21" s="8"/>
      <c r="D21" s="8"/>
      <c r="E21" s="8" t="s">
        <v>351</v>
      </c>
      <c r="F21" s="8">
        <v>100</v>
      </c>
      <c r="G21" s="8" t="s">
        <v>98</v>
      </c>
      <c r="H21" s="8"/>
      <c r="I21" s="8"/>
      <c r="J21" s="8"/>
      <c r="K21" s="8" t="s">
        <v>327</v>
      </c>
      <c r="L21" s="46"/>
      <c r="M21" s="7"/>
      <c r="N21" s="46">
        <v>19</v>
      </c>
    </row>
    <row r="24" spans="1:14">
      <c r="C24" s="40" t="s">
        <v>3448</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193F1-EE44-4287-A361-4849E8E71834}">
  <sheetPr>
    <tabColor rgb="FFFF0000"/>
  </sheetPr>
  <dimension ref="A1:N21"/>
  <sheetViews>
    <sheetView workbookViewId="0">
      <selection activeCell="B22" sqref="B22"/>
    </sheetView>
  </sheetViews>
  <sheetFormatPr defaultRowHeight="14.45"/>
  <cols>
    <col min="1" max="1" width="34.28515625" customWidth="1"/>
    <col min="2" max="2" width="27.42578125" customWidth="1"/>
    <col min="3" max="3" width="30.1406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20.42578125" customWidth="1"/>
    <col min="13" max="13" width="39.28515625" customWidth="1"/>
    <col min="14" max="14" width="17.28515625" bestFit="1" customWidth="1"/>
  </cols>
  <sheetData>
    <row r="1" spans="1:14" ht="76.5" customHeight="1">
      <c r="A1" s="1" t="s">
        <v>187</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3432</v>
      </c>
      <c r="B3" s="6" t="s">
        <v>320</v>
      </c>
      <c r="C3" s="6"/>
      <c r="D3" s="6"/>
      <c r="E3" s="6" t="s">
        <v>319</v>
      </c>
      <c r="F3" s="6"/>
      <c r="G3" s="6" t="s">
        <v>98</v>
      </c>
      <c r="H3" s="6" t="s">
        <v>321</v>
      </c>
      <c r="I3" s="6"/>
      <c r="J3" s="6"/>
      <c r="K3" s="6">
        <v>-1</v>
      </c>
      <c r="L3" s="46"/>
      <c r="M3" s="7"/>
      <c r="N3" s="46">
        <v>1</v>
      </c>
    </row>
    <row r="4" spans="1:14" s="38" customFormat="1">
      <c r="A4" s="9" t="s">
        <v>3464</v>
      </c>
      <c r="B4" s="9" t="s">
        <v>21</v>
      </c>
      <c r="C4" s="9" t="s">
        <v>188</v>
      </c>
      <c r="D4" s="9" t="s">
        <v>3465</v>
      </c>
      <c r="E4" s="9" t="s">
        <v>325</v>
      </c>
      <c r="F4" s="9">
        <v>10</v>
      </c>
      <c r="G4" s="9" t="s">
        <v>98</v>
      </c>
      <c r="H4" s="9"/>
      <c r="I4" s="9"/>
      <c r="J4" s="9"/>
      <c r="K4" s="9"/>
      <c r="L4" s="46"/>
      <c r="M4" s="7" t="s">
        <v>3466</v>
      </c>
      <c r="N4" s="46">
        <v>2</v>
      </c>
    </row>
    <row r="5" spans="1:14" s="38" customFormat="1">
      <c r="A5" s="9" t="s">
        <v>3467</v>
      </c>
      <c r="B5" s="9" t="s">
        <v>21</v>
      </c>
      <c r="C5" s="9" t="s">
        <v>188</v>
      </c>
      <c r="D5" s="9" t="s">
        <v>3468</v>
      </c>
      <c r="E5" s="9" t="s">
        <v>325</v>
      </c>
      <c r="F5" s="9">
        <v>10</v>
      </c>
      <c r="G5" s="9" t="s">
        <v>98</v>
      </c>
      <c r="H5" s="9"/>
      <c r="I5" s="9"/>
      <c r="J5" s="9"/>
      <c r="K5" s="9"/>
      <c r="L5" s="46"/>
      <c r="M5" s="7" t="s">
        <v>3466</v>
      </c>
      <c r="N5" s="46">
        <v>3</v>
      </c>
    </row>
    <row r="6" spans="1:14">
      <c r="A6" s="7" t="s">
        <v>3469</v>
      </c>
      <c r="B6" s="7" t="s">
        <v>21</v>
      </c>
      <c r="C6" s="7" t="s">
        <v>188</v>
      </c>
      <c r="D6" s="7" t="s">
        <v>3470</v>
      </c>
      <c r="E6" s="7" t="s">
        <v>325</v>
      </c>
      <c r="F6" s="7">
        <v>255</v>
      </c>
      <c r="G6" s="7" t="s">
        <v>74</v>
      </c>
      <c r="H6" s="7"/>
      <c r="I6" s="7"/>
      <c r="J6" s="7"/>
      <c r="K6" s="7"/>
      <c r="L6" s="46"/>
      <c r="M6" s="7"/>
      <c r="N6" s="46">
        <v>4</v>
      </c>
    </row>
    <row r="7" spans="1:14">
      <c r="A7" s="7" t="s">
        <v>3471</v>
      </c>
      <c r="B7" s="7" t="s">
        <v>21</v>
      </c>
      <c r="C7" s="7" t="s">
        <v>188</v>
      </c>
      <c r="D7" s="7" t="s">
        <v>3472</v>
      </c>
      <c r="E7" s="7" t="s">
        <v>325</v>
      </c>
      <c r="F7" s="7">
        <v>255</v>
      </c>
      <c r="G7" s="7" t="s">
        <v>74</v>
      </c>
      <c r="H7" s="7"/>
      <c r="I7" s="7"/>
      <c r="J7" s="7"/>
      <c r="K7" s="7"/>
      <c r="L7" s="46"/>
      <c r="M7" s="7"/>
      <c r="N7" s="46">
        <v>5</v>
      </c>
    </row>
    <row r="8" spans="1:14">
      <c r="A8" s="7" t="s">
        <v>3473</v>
      </c>
      <c r="B8" s="7" t="s">
        <v>21</v>
      </c>
      <c r="C8" s="7" t="s">
        <v>188</v>
      </c>
      <c r="D8" s="7" t="s">
        <v>3474</v>
      </c>
      <c r="E8" s="7" t="s">
        <v>325</v>
      </c>
      <c r="F8" s="7">
        <v>255</v>
      </c>
      <c r="G8" s="7" t="s">
        <v>74</v>
      </c>
      <c r="H8" s="7"/>
      <c r="I8" s="7"/>
      <c r="J8" s="7"/>
      <c r="K8" s="7"/>
      <c r="L8" s="46"/>
      <c r="M8" s="7"/>
      <c r="N8" s="46">
        <v>6</v>
      </c>
    </row>
    <row r="9" spans="1:14">
      <c r="A9" s="7" t="s">
        <v>345</v>
      </c>
      <c r="B9" s="7" t="s">
        <v>21</v>
      </c>
      <c r="C9" s="7" t="s">
        <v>188</v>
      </c>
      <c r="D9" s="7" t="s">
        <v>347</v>
      </c>
      <c r="E9" s="7" t="s">
        <v>346</v>
      </c>
      <c r="F9" s="7"/>
      <c r="G9" s="7" t="s">
        <v>98</v>
      </c>
      <c r="H9" s="7"/>
      <c r="I9" s="7"/>
      <c r="J9" s="7"/>
      <c r="K9" s="7"/>
      <c r="L9" s="46"/>
      <c r="M9" s="7"/>
      <c r="N9" s="46">
        <v>7</v>
      </c>
    </row>
    <row r="10" spans="1:14">
      <c r="A10" s="8" t="s">
        <v>350</v>
      </c>
      <c r="B10" s="8" t="s">
        <v>320</v>
      </c>
      <c r="C10" s="8"/>
      <c r="D10" s="8"/>
      <c r="E10" s="8" t="s">
        <v>351</v>
      </c>
      <c r="F10" s="8">
        <v>100</v>
      </c>
      <c r="G10" s="8" t="s">
        <v>98</v>
      </c>
      <c r="H10" s="8"/>
      <c r="I10" s="8"/>
      <c r="J10" s="8"/>
      <c r="K10" s="8" t="s">
        <v>327</v>
      </c>
      <c r="L10" s="46"/>
      <c r="M10" s="7"/>
      <c r="N10" s="46">
        <v>9</v>
      </c>
    </row>
    <row r="11" spans="1:14">
      <c r="A11" s="8" t="s">
        <v>354</v>
      </c>
      <c r="B11" s="8" t="s">
        <v>320</v>
      </c>
      <c r="C11" s="8"/>
      <c r="D11" s="8"/>
      <c r="E11" s="8" t="s">
        <v>351</v>
      </c>
      <c r="F11" s="8">
        <v>100</v>
      </c>
      <c r="G11" s="8" t="s">
        <v>98</v>
      </c>
      <c r="H11" s="8"/>
      <c r="I11" s="8"/>
      <c r="J11" s="8"/>
      <c r="K11" s="8" t="s">
        <v>327</v>
      </c>
      <c r="L11" s="46"/>
      <c r="M11" s="7"/>
      <c r="N11" s="46">
        <v>10</v>
      </c>
    </row>
    <row r="12" spans="1:14">
      <c r="A12" s="8" t="s">
        <v>357</v>
      </c>
      <c r="B12" s="8" t="s">
        <v>320</v>
      </c>
      <c r="C12" s="8"/>
      <c r="D12" s="8"/>
      <c r="E12" s="8" t="s">
        <v>351</v>
      </c>
      <c r="F12" s="8">
        <v>100</v>
      </c>
      <c r="G12" s="8" t="s">
        <v>98</v>
      </c>
      <c r="H12" s="8"/>
      <c r="I12" s="8"/>
      <c r="J12" s="8"/>
      <c r="K12" s="8" t="s">
        <v>327</v>
      </c>
      <c r="L12" s="46"/>
      <c r="M12" s="7"/>
      <c r="N12" s="46">
        <v>11</v>
      </c>
    </row>
    <row r="13" spans="1:14">
      <c r="A13" s="8" t="s">
        <v>360</v>
      </c>
      <c r="B13" s="8" t="s">
        <v>320</v>
      </c>
      <c r="C13" s="8"/>
      <c r="D13" s="8"/>
      <c r="E13" s="8" t="s">
        <v>351</v>
      </c>
      <c r="F13" s="8">
        <v>100</v>
      </c>
      <c r="G13" s="8" t="s">
        <v>98</v>
      </c>
      <c r="H13" s="8"/>
      <c r="I13" s="8"/>
      <c r="J13" s="8"/>
      <c r="K13" s="8" t="s">
        <v>327</v>
      </c>
      <c r="L13" s="46"/>
      <c r="M13" s="7"/>
      <c r="N13" s="46">
        <v>12</v>
      </c>
    </row>
    <row r="14" spans="1:14">
      <c r="A14" s="8" t="s">
        <v>363</v>
      </c>
      <c r="B14" s="8" t="s">
        <v>320</v>
      </c>
      <c r="C14" s="8"/>
      <c r="D14" s="8"/>
      <c r="E14" s="8" t="s">
        <v>351</v>
      </c>
      <c r="F14" s="8">
        <v>100</v>
      </c>
      <c r="G14" s="8" t="s">
        <v>98</v>
      </c>
      <c r="H14" s="8"/>
      <c r="I14" s="8"/>
      <c r="J14" s="8"/>
      <c r="K14" s="8" t="s">
        <v>327</v>
      </c>
      <c r="L14" s="46"/>
      <c r="M14" s="7"/>
      <c r="N14" s="46">
        <v>13</v>
      </c>
    </row>
    <row r="15" spans="1:14">
      <c r="A15" s="8" t="s">
        <v>366</v>
      </c>
      <c r="B15" s="8" t="s">
        <v>320</v>
      </c>
      <c r="C15" s="8"/>
      <c r="D15" s="8"/>
      <c r="E15" s="8" t="s">
        <v>367</v>
      </c>
      <c r="F15" s="8"/>
      <c r="G15" s="8" t="s">
        <v>98</v>
      </c>
      <c r="H15" s="8"/>
      <c r="I15" s="8"/>
      <c r="J15" s="8"/>
      <c r="K15" s="8" t="s">
        <v>368</v>
      </c>
      <c r="L15" s="46"/>
      <c r="M15" s="7"/>
      <c r="N15" s="46">
        <v>14</v>
      </c>
    </row>
    <row r="16" spans="1:14">
      <c r="A16" s="8" t="s">
        <v>371</v>
      </c>
      <c r="B16" s="8" t="s">
        <v>320</v>
      </c>
      <c r="C16" s="8"/>
      <c r="D16" s="8"/>
      <c r="E16" s="8" t="s">
        <v>367</v>
      </c>
      <c r="F16" s="8"/>
      <c r="G16" s="8" t="s">
        <v>98</v>
      </c>
      <c r="H16" s="8"/>
      <c r="I16" s="8"/>
      <c r="J16" s="8"/>
      <c r="K16" s="8" t="s">
        <v>368</v>
      </c>
      <c r="L16" s="46"/>
      <c r="M16" s="7"/>
      <c r="N16" s="46">
        <v>15</v>
      </c>
    </row>
    <row r="17" spans="1:14">
      <c r="A17" s="8" t="s">
        <v>374</v>
      </c>
      <c r="B17" s="8" t="s">
        <v>320</v>
      </c>
      <c r="C17" s="8"/>
      <c r="D17" s="8"/>
      <c r="E17" s="8" t="s">
        <v>351</v>
      </c>
      <c r="F17" s="8">
        <v>100</v>
      </c>
      <c r="G17" s="8" t="s">
        <v>98</v>
      </c>
      <c r="H17" s="8"/>
      <c r="I17" s="8"/>
      <c r="J17" s="8"/>
      <c r="K17" s="8" t="s">
        <v>327</v>
      </c>
      <c r="L17" s="46"/>
      <c r="M17" s="7"/>
      <c r="N17" s="46">
        <v>16</v>
      </c>
    </row>
    <row r="20" spans="1:14">
      <c r="A20" s="40" t="s">
        <v>3475</v>
      </c>
    </row>
    <row r="21" spans="1:14">
      <c r="A21" t="s">
        <v>3476</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FF0000"/>
  </sheetPr>
  <dimension ref="A1:N20"/>
  <sheetViews>
    <sheetView workbookViewId="0">
      <selection activeCell="C6" sqref="C6"/>
    </sheetView>
  </sheetViews>
  <sheetFormatPr defaultRowHeight="14.45"/>
  <cols>
    <col min="1" max="1" width="35.28515625" customWidth="1"/>
    <col min="2" max="4" width="20.7109375"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209</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3477</v>
      </c>
      <c r="B3" s="6" t="s">
        <v>320</v>
      </c>
      <c r="C3" s="6"/>
      <c r="D3" s="6"/>
      <c r="E3" s="6" t="s">
        <v>319</v>
      </c>
      <c r="F3" s="6"/>
      <c r="G3" s="6" t="s">
        <v>98</v>
      </c>
      <c r="H3" s="6" t="s">
        <v>2425</v>
      </c>
      <c r="I3" s="6"/>
      <c r="J3" s="6"/>
      <c r="K3" s="6">
        <v>-1</v>
      </c>
      <c r="L3" s="46"/>
      <c r="M3" s="7"/>
      <c r="N3" s="46">
        <v>1</v>
      </c>
    </row>
    <row r="4" spans="1:14">
      <c r="A4" s="27" t="s">
        <v>1248</v>
      </c>
      <c r="B4" s="27" t="s">
        <v>40</v>
      </c>
      <c r="C4" s="27" t="s">
        <v>210</v>
      </c>
      <c r="D4" s="27" t="s">
        <v>2921</v>
      </c>
      <c r="E4" s="27" t="s">
        <v>351</v>
      </c>
      <c r="F4" s="27">
        <v>24</v>
      </c>
      <c r="G4" s="27" t="s">
        <v>98</v>
      </c>
      <c r="H4" s="27" t="s">
        <v>3334</v>
      </c>
      <c r="I4" s="27"/>
      <c r="J4" s="27"/>
      <c r="K4" s="27" t="s">
        <v>327</v>
      </c>
      <c r="L4" s="46"/>
      <c r="M4" s="7" t="s">
        <v>943</v>
      </c>
      <c r="N4" s="46">
        <v>2</v>
      </c>
    </row>
    <row r="5" spans="1:14">
      <c r="A5" s="27" t="s">
        <v>3478</v>
      </c>
      <c r="B5" s="27" t="s">
        <v>40</v>
      </c>
      <c r="C5" s="27" t="s">
        <v>210</v>
      </c>
      <c r="D5" s="27" t="s">
        <v>2790</v>
      </c>
      <c r="E5" s="27" t="s">
        <v>351</v>
      </c>
      <c r="F5" s="27">
        <v>12</v>
      </c>
      <c r="G5" s="27" t="s">
        <v>74</v>
      </c>
      <c r="H5" s="27" t="s">
        <v>3031</v>
      </c>
      <c r="I5" s="27"/>
      <c r="J5" s="27"/>
      <c r="K5" s="27" t="s">
        <v>327</v>
      </c>
      <c r="L5" s="46"/>
      <c r="M5" s="7" t="s">
        <v>943</v>
      </c>
      <c r="N5" s="46">
        <v>3</v>
      </c>
    </row>
    <row r="6" spans="1:14" ht="33.75" customHeight="1">
      <c r="A6" s="27" t="s">
        <v>3479</v>
      </c>
      <c r="B6" s="27" t="s">
        <v>40</v>
      </c>
      <c r="C6" s="27" t="s">
        <v>210</v>
      </c>
      <c r="D6" s="27" t="s">
        <v>3480</v>
      </c>
      <c r="E6" s="27" t="s">
        <v>351</v>
      </c>
      <c r="F6" s="27">
        <v>2</v>
      </c>
      <c r="G6" s="27" t="s">
        <v>98</v>
      </c>
      <c r="H6" s="27" t="s">
        <v>3481</v>
      </c>
      <c r="I6" s="27"/>
      <c r="J6" s="27"/>
      <c r="K6" s="27" t="s">
        <v>327</v>
      </c>
      <c r="L6" s="46"/>
      <c r="M6" s="72" t="s">
        <v>3482</v>
      </c>
      <c r="N6" s="46">
        <v>7</v>
      </c>
    </row>
    <row r="7" spans="1:14">
      <c r="A7" s="7" t="s">
        <v>345</v>
      </c>
      <c r="B7" s="7" t="s">
        <v>40</v>
      </c>
      <c r="C7" s="7" t="s">
        <v>210</v>
      </c>
      <c r="D7" s="7" t="s">
        <v>3483</v>
      </c>
      <c r="E7" s="7" t="s">
        <v>351</v>
      </c>
      <c r="F7" s="7">
        <v>1</v>
      </c>
      <c r="G7" s="7" t="s">
        <v>74</v>
      </c>
      <c r="H7" s="7" t="s">
        <v>3484</v>
      </c>
      <c r="I7" s="7"/>
      <c r="J7" s="7"/>
      <c r="K7" s="7" t="s">
        <v>327</v>
      </c>
      <c r="L7" s="46"/>
      <c r="M7" s="7" t="s">
        <v>2956</v>
      </c>
      <c r="N7" s="46">
        <v>5</v>
      </c>
    </row>
    <row r="8" spans="1:14">
      <c r="A8" s="7" t="s">
        <v>1590</v>
      </c>
      <c r="B8" s="7" t="s">
        <v>40</v>
      </c>
      <c r="C8" s="7" t="s">
        <v>210</v>
      </c>
      <c r="D8" s="7" t="s">
        <v>2469</v>
      </c>
      <c r="E8" s="7" t="s">
        <v>367</v>
      </c>
      <c r="F8" s="7"/>
      <c r="G8" s="7" t="s">
        <v>74</v>
      </c>
      <c r="H8" s="7"/>
      <c r="I8" s="7"/>
      <c r="J8" s="7"/>
      <c r="K8" s="7" t="s">
        <v>368</v>
      </c>
      <c r="L8" s="46"/>
      <c r="M8" s="7" t="s">
        <v>1593</v>
      </c>
      <c r="N8" s="46">
        <v>6</v>
      </c>
    </row>
    <row r="9" spans="1:14">
      <c r="A9" s="8" t="s">
        <v>350</v>
      </c>
      <c r="B9" s="8" t="s">
        <v>320</v>
      </c>
      <c r="C9" s="8"/>
      <c r="D9" s="8"/>
      <c r="E9" s="8" t="s">
        <v>351</v>
      </c>
      <c r="F9" s="8">
        <v>100</v>
      </c>
      <c r="G9" s="8" t="s">
        <v>98</v>
      </c>
      <c r="H9" s="8"/>
      <c r="I9" s="8"/>
      <c r="J9" s="8"/>
      <c r="K9" s="8" t="s">
        <v>327</v>
      </c>
      <c r="L9" s="46"/>
      <c r="M9" s="7"/>
      <c r="N9" s="46">
        <v>8</v>
      </c>
    </row>
    <row r="10" spans="1:14">
      <c r="A10" s="8" t="s">
        <v>354</v>
      </c>
      <c r="B10" s="8" t="s">
        <v>320</v>
      </c>
      <c r="C10" s="8"/>
      <c r="D10" s="8"/>
      <c r="E10" s="8" t="s">
        <v>351</v>
      </c>
      <c r="F10" s="8">
        <v>100</v>
      </c>
      <c r="G10" s="8" t="s">
        <v>98</v>
      </c>
      <c r="H10" s="8"/>
      <c r="I10" s="8"/>
      <c r="J10" s="8"/>
      <c r="K10" s="8" t="s">
        <v>327</v>
      </c>
      <c r="L10" s="46"/>
      <c r="M10" s="7"/>
      <c r="N10" s="46">
        <v>9</v>
      </c>
    </row>
    <row r="11" spans="1:14">
      <c r="A11" s="8" t="s">
        <v>357</v>
      </c>
      <c r="B11" s="8" t="s">
        <v>320</v>
      </c>
      <c r="C11" s="8"/>
      <c r="D11" s="8"/>
      <c r="E11" s="8" t="s">
        <v>351</v>
      </c>
      <c r="F11" s="8">
        <v>100</v>
      </c>
      <c r="G11" s="8" t="s">
        <v>98</v>
      </c>
      <c r="H11" s="8"/>
      <c r="I11" s="8"/>
      <c r="J11" s="8"/>
      <c r="K11" s="8" t="s">
        <v>327</v>
      </c>
      <c r="L11" s="46"/>
      <c r="M11" s="7"/>
      <c r="N11" s="46">
        <v>10</v>
      </c>
    </row>
    <row r="12" spans="1:14">
      <c r="A12" s="8" t="s">
        <v>360</v>
      </c>
      <c r="B12" s="8" t="s">
        <v>320</v>
      </c>
      <c r="C12" s="8"/>
      <c r="D12" s="8"/>
      <c r="E12" s="8" t="s">
        <v>351</v>
      </c>
      <c r="F12" s="8">
        <v>100</v>
      </c>
      <c r="G12" s="8" t="s">
        <v>98</v>
      </c>
      <c r="H12" s="8"/>
      <c r="I12" s="8"/>
      <c r="J12" s="8"/>
      <c r="K12" s="8" t="s">
        <v>327</v>
      </c>
      <c r="L12" s="46"/>
      <c r="M12" s="7"/>
      <c r="N12" s="46">
        <v>11</v>
      </c>
    </row>
    <row r="13" spans="1:14">
      <c r="A13" s="8" t="s">
        <v>363</v>
      </c>
      <c r="B13" s="8" t="s">
        <v>320</v>
      </c>
      <c r="C13" s="8"/>
      <c r="D13" s="8"/>
      <c r="E13" s="8" t="s">
        <v>351</v>
      </c>
      <c r="F13" s="8">
        <v>100</v>
      </c>
      <c r="G13" s="8" t="s">
        <v>98</v>
      </c>
      <c r="H13" s="8"/>
      <c r="I13" s="8"/>
      <c r="J13" s="8"/>
      <c r="K13" s="8" t="s">
        <v>327</v>
      </c>
      <c r="L13" s="46"/>
      <c r="M13" s="7"/>
      <c r="N13" s="46">
        <v>12</v>
      </c>
    </row>
    <row r="14" spans="1:14">
      <c r="A14" s="8" t="s">
        <v>366</v>
      </c>
      <c r="B14" s="8" t="s">
        <v>320</v>
      </c>
      <c r="C14" s="8"/>
      <c r="D14" s="8"/>
      <c r="E14" s="8" t="s">
        <v>367</v>
      </c>
      <c r="F14" s="8"/>
      <c r="G14" s="8" t="s">
        <v>98</v>
      </c>
      <c r="H14" s="8"/>
      <c r="I14" s="8"/>
      <c r="J14" s="8"/>
      <c r="K14" s="8" t="s">
        <v>368</v>
      </c>
      <c r="L14" s="46"/>
      <c r="M14" s="7"/>
      <c r="N14" s="46">
        <v>13</v>
      </c>
    </row>
    <row r="15" spans="1:14">
      <c r="A15" s="8" t="s">
        <v>371</v>
      </c>
      <c r="B15" s="8" t="s">
        <v>320</v>
      </c>
      <c r="C15" s="8"/>
      <c r="D15" s="8"/>
      <c r="E15" s="8" t="s">
        <v>367</v>
      </c>
      <c r="F15" s="8"/>
      <c r="G15" s="8" t="s">
        <v>98</v>
      </c>
      <c r="H15" s="8"/>
      <c r="I15" s="8"/>
      <c r="J15" s="8"/>
      <c r="K15" s="8" t="s">
        <v>368</v>
      </c>
      <c r="L15" s="46"/>
      <c r="M15" s="7"/>
      <c r="N15" s="46">
        <v>14</v>
      </c>
    </row>
    <row r="16" spans="1:14">
      <c r="A16" s="8" t="s">
        <v>374</v>
      </c>
      <c r="B16" s="8" t="s">
        <v>320</v>
      </c>
      <c r="C16" s="8"/>
      <c r="D16" s="8"/>
      <c r="E16" s="8" t="s">
        <v>351</v>
      </c>
      <c r="F16" s="8">
        <v>100</v>
      </c>
      <c r="G16" s="8" t="s">
        <v>98</v>
      </c>
      <c r="H16" s="8"/>
      <c r="I16" s="8"/>
      <c r="J16" s="8"/>
      <c r="K16" s="8" t="s">
        <v>327</v>
      </c>
      <c r="L16" s="46"/>
      <c r="M16" s="7"/>
      <c r="N16" s="46">
        <v>15</v>
      </c>
    </row>
    <row r="18" spans="1:1">
      <c r="A18" s="40" t="s">
        <v>3485</v>
      </c>
    </row>
    <row r="19" spans="1:1">
      <c r="A19" s="40" t="s">
        <v>3486</v>
      </c>
    </row>
    <row r="20" spans="1:1">
      <c r="A20" s="75" t="s">
        <v>3487</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tabColor rgb="FFFF0000"/>
  </sheetPr>
  <dimension ref="A1:L24"/>
  <sheetViews>
    <sheetView workbookViewId="0">
      <selection activeCell="F27" sqref="F27"/>
    </sheetView>
  </sheetViews>
  <sheetFormatPr defaultRowHeight="14.45"/>
  <cols>
    <col min="1" max="1" width="36.85546875" customWidth="1"/>
    <col min="2" max="2" width="20.7109375" customWidth="1"/>
    <col min="3" max="3" width="29.28515625" customWidth="1"/>
    <col min="4" max="4" width="20.7109375" customWidth="1"/>
    <col min="5" max="7" width="15.7109375" customWidth="1"/>
    <col min="8" max="12" width="20.7109375" customWidth="1"/>
  </cols>
  <sheetData>
    <row r="1" spans="1:12" ht="60" customHeight="1">
      <c r="A1" s="1" t="s">
        <v>219</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3488</v>
      </c>
      <c r="B3" s="6" t="s">
        <v>320</v>
      </c>
      <c r="C3" s="6"/>
      <c r="D3" s="6"/>
      <c r="E3" s="6" t="s">
        <v>319</v>
      </c>
      <c r="F3" s="6"/>
      <c r="G3" s="6"/>
      <c r="H3" s="6"/>
      <c r="I3" s="6"/>
      <c r="J3" s="6"/>
      <c r="K3" s="6">
        <v>-1</v>
      </c>
    </row>
    <row r="4" spans="1:12">
      <c r="A4" s="9" t="s">
        <v>1538</v>
      </c>
      <c r="B4" s="9" t="s">
        <v>40</v>
      </c>
      <c r="C4" s="9" t="s">
        <v>220</v>
      </c>
      <c r="D4" s="9" t="s">
        <v>3489</v>
      </c>
      <c r="E4" s="9" t="s">
        <v>351</v>
      </c>
      <c r="F4" s="9">
        <v>10</v>
      </c>
      <c r="G4" s="9"/>
      <c r="H4" s="9"/>
      <c r="I4" s="9"/>
      <c r="J4" s="9"/>
      <c r="K4" s="9" t="s">
        <v>327</v>
      </c>
    </row>
    <row r="5" spans="1:12">
      <c r="A5" s="7" t="s">
        <v>3490</v>
      </c>
      <c r="B5" s="7" t="s">
        <v>40</v>
      </c>
      <c r="C5" s="7" t="s">
        <v>220</v>
      </c>
      <c r="D5" s="7" t="s">
        <v>3491</v>
      </c>
      <c r="E5" s="7" t="s">
        <v>351</v>
      </c>
      <c r="F5" s="7">
        <v>12</v>
      </c>
      <c r="G5" s="7"/>
      <c r="H5" s="7"/>
      <c r="I5" s="7"/>
      <c r="J5" s="7"/>
      <c r="K5" s="7" t="s">
        <v>327</v>
      </c>
    </row>
    <row r="6" spans="1:12">
      <c r="A6" s="7" t="s">
        <v>3492</v>
      </c>
      <c r="B6" s="7" t="s">
        <v>40</v>
      </c>
      <c r="C6" s="7" t="s">
        <v>220</v>
      </c>
      <c r="D6" s="7" t="s">
        <v>2440</v>
      </c>
      <c r="E6" s="7" t="s">
        <v>367</v>
      </c>
      <c r="F6" s="7"/>
      <c r="G6" s="7"/>
      <c r="H6" s="7"/>
      <c r="I6" s="7"/>
      <c r="J6" s="7"/>
      <c r="K6" s="7" t="s">
        <v>368</v>
      </c>
    </row>
    <row r="7" spans="1:12">
      <c r="A7" s="7" t="s">
        <v>3493</v>
      </c>
      <c r="B7" s="7" t="s">
        <v>40</v>
      </c>
      <c r="C7" s="7" t="s">
        <v>220</v>
      </c>
      <c r="D7" s="7" t="s">
        <v>3494</v>
      </c>
      <c r="E7" s="7" t="s">
        <v>367</v>
      </c>
      <c r="F7" s="7"/>
      <c r="G7" s="7"/>
      <c r="H7" s="7"/>
      <c r="I7" s="7"/>
      <c r="J7" s="7"/>
      <c r="K7" s="7" t="s">
        <v>368</v>
      </c>
    </row>
    <row r="8" spans="1:12">
      <c r="A8" s="7" t="s">
        <v>2446</v>
      </c>
      <c r="B8" s="7" t="s">
        <v>40</v>
      </c>
      <c r="C8" s="7" t="s">
        <v>220</v>
      </c>
      <c r="D8" s="7" t="s">
        <v>2447</v>
      </c>
      <c r="E8" s="7" t="s">
        <v>367</v>
      </c>
      <c r="F8" s="7"/>
      <c r="G8" s="7"/>
      <c r="H8" s="7"/>
      <c r="I8" s="7"/>
      <c r="J8" s="7"/>
      <c r="K8" s="7" t="s">
        <v>368</v>
      </c>
    </row>
    <row r="9" spans="1:12">
      <c r="A9" s="7" t="s">
        <v>3495</v>
      </c>
      <c r="B9" s="7" t="s">
        <v>40</v>
      </c>
      <c r="C9" s="7" t="s">
        <v>220</v>
      </c>
      <c r="D9" s="7" t="s">
        <v>3496</v>
      </c>
      <c r="E9" s="7" t="s">
        <v>351</v>
      </c>
      <c r="F9" s="7">
        <v>12</v>
      </c>
      <c r="G9" s="7"/>
      <c r="H9" s="7"/>
      <c r="I9" s="7"/>
      <c r="J9" s="7"/>
      <c r="K9" s="7" t="s">
        <v>327</v>
      </c>
    </row>
    <row r="10" spans="1:12">
      <c r="A10" s="22" t="s">
        <v>1248</v>
      </c>
      <c r="B10" s="22" t="s">
        <v>40</v>
      </c>
      <c r="C10" s="22" t="s">
        <v>220</v>
      </c>
      <c r="D10" s="22" t="s">
        <v>3497</v>
      </c>
      <c r="E10" s="22" t="s">
        <v>351</v>
      </c>
      <c r="F10" s="22">
        <v>24</v>
      </c>
      <c r="G10" s="22"/>
      <c r="H10" s="22" t="s">
        <v>3334</v>
      </c>
      <c r="I10" s="22"/>
      <c r="J10" s="22"/>
      <c r="K10" s="22" t="s">
        <v>327</v>
      </c>
    </row>
    <row r="11" spans="1:12">
      <c r="A11" s="7" t="s">
        <v>3498</v>
      </c>
      <c r="B11" s="7" t="s">
        <v>40</v>
      </c>
      <c r="C11" s="7" t="s">
        <v>220</v>
      </c>
      <c r="D11" s="7" t="s">
        <v>2469</v>
      </c>
      <c r="E11" s="7" t="s">
        <v>367</v>
      </c>
      <c r="F11" s="7"/>
      <c r="G11" s="7"/>
      <c r="H11" s="7"/>
      <c r="I11" s="7"/>
      <c r="J11" s="7"/>
      <c r="K11" s="7" t="s">
        <v>368</v>
      </c>
    </row>
    <row r="12" spans="1:12">
      <c r="A12" s="7" t="s">
        <v>3499</v>
      </c>
      <c r="B12" s="7" t="s">
        <v>40</v>
      </c>
      <c r="C12" s="7" t="s">
        <v>220</v>
      </c>
      <c r="D12" s="7" t="s">
        <v>3500</v>
      </c>
      <c r="E12" s="7" t="s">
        <v>367</v>
      </c>
      <c r="F12" s="7"/>
      <c r="G12" s="7"/>
      <c r="H12" s="7"/>
      <c r="I12" s="7"/>
      <c r="J12" s="7"/>
      <c r="K12" s="7" t="s">
        <v>368</v>
      </c>
    </row>
    <row r="13" spans="1:12">
      <c r="A13" s="8" t="s">
        <v>350</v>
      </c>
      <c r="B13" s="8" t="s">
        <v>320</v>
      </c>
      <c r="C13" s="8"/>
      <c r="D13" s="8"/>
      <c r="E13" s="8" t="s">
        <v>351</v>
      </c>
      <c r="F13" s="8">
        <v>100</v>
      </c>
      <c r="G13" s="8" t="s">
        <v>98</v>
      </c>
      <c r="H13" s="8"/>
      <c r="I13" s="8"/>
      <c r="J13" s="8"/>
      <c r="K13" s="8" t="s">
        <v>327</v>
      </c>
    </row>
    <row r="14" spans="1:12">
      <c r="A14" s="8" t="s">
        <v>354</v>
      </c>
      <c r="B14" s="8" t="s">
        <v>320</v>
      </c>
      <c r="C14" s="8"/>
      <c r="D14" s="8"/>
      <c r="E14" s="8" t="s">
        <v>351</v>
      </c>
      <c r="F14" s="8">
        <v>100</v>
      </c>
      <c r="G14" s="8" t="s">
        <v>98</v>
      </c>
      <c r="H14" s="8"/>
      <c r="I14" s="8"/>
      <c r="J14" s="8"/>
      <c r="K14" s="8" t="s">
        <v>327</v>
      </c>
    </row>
    <row r="15" spans="1:12">
      <c r="A15" s="8" t="s">
        <v>357</v>
      </c>
      <c r="B15" s="8" t="s">
        <v>320</v>
      </c>
      <c r="C15" s="8"/>
      <c r="D15" s="8"/>
      <c r="E15" s="8" t="s">
        <v>351</v>
      </c>
      <c r="F15" s="8">
        <v>100</v>
      </c>
      <c r="G15" s="8" t="s">
        <v>98</v>
      </c>
      <c r="H15" s="8"/>
      <c r="I15" s="8"/>
      <c r="J15" s="8"/>
      <c r="K15" s="8" t="s">
        <v>327</v>
      </c>
    </row>
    <row r="16" spans="1:12">
      <c r="A16" s="8" t="s">
        <v>360</v>
      </c>
      <c r="B16" s="8" t="s">
        <v>320</v>
      </c>
      <c r="C16" s="8"/>
      <c r="D16" s="8"/>
      <c r="E16" s="8" t="s">
        <v>351</v>
      </c>
      <c r="F16" s="8">
        <v>100</v>
      </c>
      <c r="G16" s="8" t="s">
        <v>98</v>
      </c>
      <c r="H16" s="8"/>
      <c r="I16" s="8"/>
      <c r="J16" s="8"/>
      <c r="K16" s="8" t="s">
        <v>327</v>
      </c>
    </row>
    <row r="17" spans="1:11">
      <c r="A17" s="8" t="s">
        <v>363</v>
      </c>
      <c r="B17" s="8" t="s">
        <v>320</v>
      </c>
      <c r="C17" s="8"/>
      <c r="D17" s="8"/>
      <c r="E17" s="8" t="s">
        <v>351</v>
      </c>
      <c r="F17" s="8">
        <v>100</v>
      </c>
      <c r="G17" s="8" t="s">
        <v>98</v>
      </c>
      <c r="H17" s="8"/>
      <c r="I17" s="8"/>
      <c r="J17" s="8"/>
      <c r="K17" s="8" t="s">
        <v>327</v>
      </c>
    </row>
    <row r="18" spans="1:11">
      <c r="A18" s="8" t="s">
        <v>366</v>
      </c>
      <c r="B18" s="8" t="s">
        <v>320</v>
      </c>
      <c r="C18" s="8"/>
      <c r="D18" s="8"/>
      <c r="E18" s="8" t="s">
        <v>367</v>
      </c>
      <c r="F18" s="8"/>
      <c r="G18" s="8" t="s">
        <v>98</v>
      </c>
      <c r="H18" s="8"/>
      <c r="I18" s="8"/>
      <c r="J18" s="8"/>
      <c r="K18" s="8" t="s">
        <v>368</v>
      </c>
    </row>
    <row r="19" spans="1:11">
      <c r="A19" s="8" t="s">
        <v>371</v>
      </c>
      <c r="B19" s="8" t="s">
        <v>320</v>
      </c>
      <c r="C19" s="8"/>
      <c r="D19" s="8"/>
      <c r="E19" s="8" t="s">
        <v>367</v>
      </c>
      <c r="F19" s="8"/>
      <c r="G19" s="8" t="s">
        <v>98</v>
      </c>
      <c r="H19" s="8"/>
      <c r="I19" s="8"/>
      <c r="J19" s="8"/>
      <c r="K19" s="8" t="s">
        <v>368</v>
      </c>
    </row>
    <row r="20" spans="1:11">
      <c r="A20" s="8" t="s">
        <v>374</v>
      </c>
      <c r="B20" s="8" t="s">
        <v>320</v>
      </c>
      <c r="C20" s="8"/>
      <c r="D20" s="8"/>
      <c r="E20" s="8" t="s">
        <v>351</v>
      </c>
      <c r="F20" s="8">
        <v>100</v>
      </c>
      <c r="G20" s="8" t="s">
        <v>98</v>
      </c>
      <c r="H20" s="8"/>
      <c r="I20" s="8"/>
      <c r="J20" s="8"/>
      <c r="K20" s="8" t="s">
        <v>327</v>
      </c>
    </row>
    <row r="23" spans="1:11">
      <c r="A23" s="40" t="s">
        <v>3501</v>
      </c>
    </row>
    <row r="24" spans="1:11">
      <c r="A24" s="40" t="s">
        <v>3502</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tabColor rgb="FFFF0000"/>
  </sheetPr>
  <dimension ref="A1:N31"/>
  <sheetViews>
    <sheetView workbookViewId="0">
      <selection activeCell="A31" sqref="A31"/>
    </sheetView>
  </sheetViews>
  <sheetFormatPr defaultRowHeight="14.45"/>
  <cols>
    <col min="1" max="1" width="36.140625" customWidth="1"/>
    <col min="2" max="2" width="20.7109375" customWidth="1"/>
    <col min="3" max="3" width="32.28515625" customWidth="1"/>
    <col min="4" max="4" width="34"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222</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3503</v>
      </c>
      <c r="B3" s="6" t="s">
        <v>320</v>
      </c>
      <c r="C3" s="6"/>
      <c r="D3" s="6"/>
      <c r="E3" s="6" t="s">
        <v>319</v>
      </c>
      <c r="F3" s="6"/>
      <c r="G3" s="6" t="s">
        <v>98</v>
      </c>
      <c r="H3" s="6"/>
      <c r="I3" s="6"/>
      <c r="J3" s="6"/>
      <c r="K3" s="6">
        <v>-1</v>
      </c>
      <c r="L3" s="46"/>
      <c r="M3" s="7"/>
      <c r="N3" s="46">
        <v>1</v>
      </c>
    </row>
    <row r="4" spans="1:14">
      <c r="A4" s="27" t="s">
        <v>1248</v>
      </c>
      <c r="B4" s="27" t="s">
        <v>45</v>
      </c>
      <c r="C4" s="27" t="s">
        <v>223</v>
      </c>
      <c r="D4" s="27" t="s">
        <v>3504</v>
      </c>
      <c r="E4" s="27" t="s">
        <v>431</v>
      </c>
      <c r="F4" s="27"/>
      <c r="G4" s="27" t="s">
        <v>98</v>
      </c>
      <c r="H4" s="27" t="s">
        <v>3334</v>
      </c>
      <c r="I4" s="27"/>
      <c r="J4" s="27"/>
      <c r="K4" s="27">
        <v>-1</v>
      </c>
      <c r="L4" s="46"/>
      <c r="M4" s="7"/>
      <c r="N4" s="46">
        <v>2</v>
      </c>
    </row>
    <row r="5" spans="1:14">
      <c r="A5" s="27" t="s">
        <v>3505</v>
      </c>
      <c r="B5" s="27" t="s">
        <v>45</v>
      </c>
      <c r="C5" s="27" t="s">
        <v>223</v>
      </c>
      <c r="D5" s="27" t="s">
        <v>3506</v>
      </c>
      <c r="E5" s="27" t="s">
        <v>431</v>
      </c>
      <c r="F5" s="27"/>
      <c r="G5" s="27" t="s">
        <v>98</v>
      </c>
      <c r="H5" s="27" t="s">
        <v>3507</v>
      </c>
      <c r="I5" s="27"/>
      <c r="J5" s="27"/>
      <c r="K5" s="27">
        <v>-1</v>
      </c>
      <c r="L5" s="46"/>
      <c r="M5" s="7"/>
      <c r="N5" s="46">
        <v>3</v>
      </c>
    </row>
    <row r="6" spans="1:14">
      <c r="A6" s="7" t="s">
        <v>3508</v>
      </c>
      <c r="B6" s="7" t="s">
        <v>45</v>
      </c>
      <c r="C6" s="7" t="s">
        <v>223</v>
      </c>
      <c r="D6" s="7" t="s">
        <v>3509</v>
      </c>
      <c r="E6" s="7" t="s">
        <v>351</v>
      </c>
      <c r="F6" s="7">
        <v>-1</v>
      </c>
      <c r="G6" s="7" t="s">
        <v>74</v>
      </c>
      <c r="H6" s="7"/>
      <c r="I6" s="7"/>
      <c r="J6" s="7"/>
      <c r="K6" s="7" t="s">
        <v>327</v>
      </c>
      <c r="L6" s="46"/>
      <c r="M6" s="7"/>
      <c r="N6" s="46">
        <v>4</v>
      </c>
    </row>
    <row r="7" spans="1:14">
      <c r="A7" s="7" t="s">
        <v>3510</v>
      </c>
      <c r="B7" s="7" t="s">
        <v>45</v>
      </c>
      <c r="C7" s="7" t="s">
        <v>223</v>
      </c>
      <c r="D7" s="7" t="s">
        <v>3511</v>
      </c>
      <c r="E7" s="7" t="s">
        <v>431</v>
      </c>
      <c r="F7" s="7"/>
      <c r="G7" s="7" t="s">
        <v>98</v>
      </c>
      <c r="H7" s="7"/>
      <c r="I7" s="7"/>
      <c r="J7" s="7"/>
      <c r="K7" s="7">
        <v>-1</v>
      </c>
      <c r="L7" s="46"/>
      <c r="M7" s="7"/>
      <c r="N7" s="46">
        <v>5</v>
      </c>
    </row>
    <row r="8" spans="1:14">
      <c r="A8" s="7" t="s">
        <v>3512</v>
      </c>
      <c r="B8" s="7" t="s">
        <v>45</v>
      </c>
      <c r="C8" s="7" t="s">
        <v>223</v>
      </c>
      <c r="D8" s="7" t="s">
        <v>3513</v>
      </c>
      <c r="E8" s="7" t="s">
        <v>431</v>
      </c>
      <c r="F8" s="7"/>
      <c r="G8" s="7" t="s">
        <v>74</v>
      </c>
      <c r="H8" s="7"/>
      <c r="I8" s="7"/>
      <c r="J8" s="7"/>
      <c r="K8" s="7">
        <v>-1</v>
      </c>
      <c r="L8" s="46"/>
      <c r="M8" s="7"/>
      <c r="N8" s="46">
        <v>6</v>
      </c>
    </row>
    <row r="9" spans="1:14">
      <c r="A9" s="7" t="s">
        <v>3514</v>
      </c>
      <c r="B9" s="7" t="s">
        <v>45</v>
      </c>
      <c r="C9" s="7" t="s">
        <v>223</v>
      </c>
      <c r="D9" s="7" t="s">
        <v>3515</v>
      </c>
      <c r="E9" s="7" t="s">
        <v>351</v>
      </c>
      <c r="F9" s="7">
        <v>-1</v>
      </c>
      <c r="G9" s="7" t="s">
        <v>74</v>
      </c>
      <c r="H9" s="7"/>
      <c r="I9" s="7"/>
      <c r="J9" s="7"/>
      <c r="K9" s="7" t="s">
        <v>327</v>
      </c>
      <c r="L9" s="46"/>
      <c r="M9" s="7"/>
      <c r="N9" s="46">
        <v>7</v>
      </c>
    </row>
    <row r="10" spans="1:14">
      <c r="A10" s="7" t="s">
        <v>3516</v>
      </c>
      <c r="B10" s="7" t="s">
        <v>45</v>
      </c>
      <c r="C10" s="7" t="s">
        <v>223</v>
      </c>
      <c r="D10" s="7" t="s">
        <v>3517</v>
      </c>
      <c r="E10" s="7" t="s">
        <v>431</v>
      </c>
      <c r="F10" s="7"/>
      <c r="G10" s="7" t="s">
        <v>98</v>
      </c>
      <c r="H10" s="7"/>
      <c r="I10" s="7"/>
      <c r="J10" s="7"/>
      <c r="K10" s="7">
        <v>-1</v>
      </c>
      <c r="L10" s="46"/>
      <c r="M10" s="7"/>
      <c r="N10" s="46">
        <v>8</v>
      </c>
    </row>
    <row r="11" spans="1:14">
      <c r="A11" s="7" t="s">
        <v>3518</v>
      </c>
      <c r="B11" s="7" t="s">
        <v>45</v>
      </c>
      <c r="C11" s="7" t="s">
        <v>223</v>
      </c>
      <c r="D11" s="7" t="s">
        <v>2395</v>
      </c>
      <c r="E11" s="7" t="s">
        <v>367</v>
      </c>
      <c r="F11" s="7"/>
      <c r="G11" s="7" t="s">
        <v>98</v>
      </c>
      <c r="H11" s="7"/>
      <c r="I11" s="7"/>
      <c r="J11" s="7"/>
      <c r="K11" s="7" t="s">
        <v>368</v>
      </c>
      <c r="L11" s="46"/>
      <c r="M11" s="7"/>
      <c r="N11" s="46">
        <v>9</v>
      </c>
    </row>
    <row r="12" spans="1:14">
      <c r="A12" s="7" t="s">
        <v>3519</v>
      </c>
      <c r="B12" s="7" t="s">
        <v>45</v>
      </c>
      <c r="C12" s="7" t="s">
        <v>223</v>
      </c>
      <c r="D12" s="7" t="s">
        <v>3520</v>
      </c>
      <c r="E12" s="7" t="s">
        <v>3521</v>
      </c>
      <c r="F12" s="7">
        <v>-1</v>
      </c>
      <c r="G12" s="7" t="s">
        <v>74</v>
      </c>
      <c r="H12" s="7"/>
      <c r="I12" s="7"/>
      <c r="J12" s="7"/>
      <c r="K12" s="7"/>
      <c r="L12" s="46"/>
      <c r="M12" s="7"/>
      <c r="N12" s="46">
        <v>10</v>
      </c>
    </row>
    <row r="13" spans="1:14">
      <c r="A13" s="7" t="s">
        <v>3522</v>
      </c>
      <c r="B13" s="7" t="s">
        <v>45</v>
      </c>
      <c r="C13" s="7" t="s">
        <v>223</v>
      </c>
      <c r="D13" s="7" t="s">
        <v>3004</v>
      </c>
      <c r="E13" s="7" t="s">
        <v>346</v>
      </c>
      <c r="F13" s="7"/>
      <c r="G13" s="7" t="s">
        <v>98</v>
      </c>
      <c r="H13" s="7"/>
      <c r="I13" s="7"/>
      <c r="J13" s="7"/>
      <c r="K13" s="7">
        <v>-1</v>
      </c>
      <c r="L13" s="46"/>
      <c r="M13" s="7"/>
      <c r="N13" s="46">
        <v>11</v>
      </c>
    </row>
    <row r="14" spans="1:14">
      <c r="A14" s="7" t="s">
        <v>2670</v>
      </c>
      <c r="B14" s="7" t="s">
        <v>45</v>
      </c>
      <c r="C14" s="7" t="s">
        <v>223</v>
      </c>
      <c r="D14" s="7" t="s">
        <v>3</v>
      </c>
      <c r="E14" s="7" t="s">
        <v>351</v>
      </c>
      <c r="F14" s="7">
        <v>-1</v>
      </c>
      <c r="G14" s="7" t="s">
        <v>74</v>
      </c>
      <c r="H14" s="7"/>
      <c r="I14" s="7"/>
      <c r="J14" s="7"/>
      <c r="K14" s="7" t="s">
        <v>327</v>
      </c>
      <c r="L14" s="46"/>
      <c r="M14" s="7"/>
      <c r="N14" s="46">
        <v>12</v>
      </c>
    </row>
    <row r="15" spans="1:14">
      <c r="A15" s="7" t="s">
        <v>3523</v>
      </c>
      <c r="B15" s="7" t="s">
        <v>45</v>
      </c>
      <c r="C15" s="7" t="s">
        <v>223</v>
      </c>
      <c r="D15" s="7" t="s">
        <v>2232</v>
      </c>
      <c r="E15" s="7" t="s">
        <v>431</v>
      </c>
      <c r="F15" s="7"/>
      <c r="G15" s="7" t="s">
        <v>98</v>
      </c>
      <c r="H15" s="7"/>
      <c r="I15" s="7"/>
      <c r="J15" s="7" t="s">
        <v>942</v>
      </c>
      <c r="K15" s="7">
        <v>-1</v>
      </c>
      <c r="L15" s="46"/>
      <c r="M15" s="7"/>
      <c r="N15" s="46">
        <v>13</v>
      </c>
    </row>
    <row r="16" spans="1:14">
      <c r="A16" s="7" t="s">
        <v>3524</v>
      </c>
      <c r="B16" s="7" t="s">
        <v>45</v>
      </c>
      <c r="C16" s="7" t="s">
        <v>223</v>
      </c>
      <c r="D16" s="7" t="s">
        <v>3525</v>
      </c>
      <c r="E16" s="7" t="s">
        <v>351</v>
      </c>
      <c r="F16" s="7">
        <v>-1</v>
      </c>
      <c r="G16" s="7" t="s">
        <v>74</v>
      </c>
      <c r="H16" s="7"/>
      <c r="I16" s="7"/>
      <c r="J16" s="7"/>
      <c r="K16" s="7" t="s">
        <v>327</v>
      </c>
      <c r="L16" s="46"/>
      <c r="M16" s="7"/>
      <c r="N16" s="46">
        <v>14</v>
      </c>
    </row>
    <row r="17" spans="1:14">
      <c r="A17" s="7" t="s">
        <v>3526</v>
      </c>
      <c r="B17" s="7" t="s">
        <v>45</v>
      </c>
      <c r="C17" s="7" t="s">
        <v>223</v>
      </c>
      <c r="D17" s="7" t="s">
        <v>3527</v>
      </c>
      <c r="E17" s="7" t="s">
        <v>431</v>
      </c>
      <c r="F17" s="7"/>
      <c r="G17" s="7" t="s">
        <v>98</v>
      </c>
      <c r="H17" s="7"/>
      <c r="I17" s="7"/>
      <c r="J17" s="7"/>
      <c r="K17" s="7">
        <v>-1</v>
      </c>
      <c r="L17" s="46"/>
      <c r="M17" s="7"/>
      <c r="N17" s="46">
        <v>15</v>
      </c>
    </row>
    <row r="18" spans="1:14">
      <c r="A18" s="7" t="s">
        <v>3528</v>
      </c>
      <c r="B18" s="7" t="s">
        <v>45</v>
      </c>
      <c r="C18" s="7" t="s">
        <v>223</v>
      </c>
      <c r="D18" s="7" t="s">
        <v>3529</v>
      </c>
      <c r="E18" s="7" t="s">
        <v>431</v>
      </c>
      <c r="F18" s="7"/>
      <c r="G18" s="7" t="s">
        <v>98</v>
      </c>
      <c r="H18" s="7"/>
      <c r="I18" s="7"/>
      <c r="J18" s="7"/>
      <c r="K18" s="7">
        <v>-1</v>
      </c>
      <c r="L18" s="46"/>
      <c r="M18" s="7"/>
      <c r="N18" s="46">
        <v>16</v>
      </c>
    </row>
    <row r="19" spans="1:14">
      <c r="A19" s="7" t="s">
        <v>3530</v>
      </c>
      <c r="B19" s="7" t="s">
        <v>45</v>
      </c>
      <c r="C19" s="7" t="s">
        <v>223</v>
      </c>
      <c r="D19" s="7" t="s">
        <v>2241</v>
      </c>
      <c r="E19" s="7" t="s">
        <v>367</v>
      </c>
      <c r="F19" s="7"/>
      <c r="G19" s="7" t="s">
        <v>98</v>
      </c>
      <c r="H19" s="7"/>
      <c r="I19" s="7"/>
      <c r="J19" s="7"/>
      <c r="K19" s="7" t="s">
        <v>368</v>
      </c>
      <c r="L19" s="46"/>
      <c r="M19" s="7"/>
      <c r="N19" s="46">
        <v>17</v>
      </c>
    </row>
    <row r="20" spans="1:14">
      <c r="A20" s="7" t="s">
        <v>3531</v>
      </c>
      <c r="B20" s="7" t="s">
        <v>45</v>
      </c>
      <c r="C20" s="7" t="s">
        <v>223</v>
      </c>
      <c r="D20" s="7" t="s">
        <v>3532</v>
      </c>
      <c r="E20" s="7" t="s">
        <v>431</v>
      </c>
      <c r="F20" s="7"/>
      <c r="G20" s="7" t="s">
        <v>98</v>
      </c>
      <c r="H20" s="7"/>
      <c r="I20" s="7"/>
      <c r="J20" s="7"/>
      <c r="K20" s="7">
        <v>-1</v>
      </c>
      <c r="L20" s="46"/>
      <c r="M20" s="7"/>
      <c r="N20" s="46">
        <v>18</v>
      </c>
    </row>
    <row r="21" spans="1:14">
      <c r="A21" s="8" t="s">
        <v>350</v>
      </c>
      <c r="B21" s="8" t="s">
        <v>320</v>
      </c>
      <c r="C21" s="8"/>
      <c r="D21" s="8"/>
      <c r="E21" s="8" t="s">
        <v>351</v>
      </c>
      <c r="F21" s="8">
        <v>100</v>
      </c>
      <c r="G21" s="8" t="s">
        <v>98</v>
      </c>
      <c r="H21" s="8"/>
      <c r="I21" s="8"/>
      <c r="J21" s="8"/>
      <c r="K21" s="8" t="s">
        <v>327</v>
      </c>
      <c r="L21" s="46"/>
      <c r="M21" s="7"/>
      <c r="N21" s="46">
        <v>19</v>
      </c>
    </row>
    <row r="22" spans="1:14">
      <c r="A22" s="8" t="s">
        <v>354</v>
      </c>
      <c r="B22" s="8" t="s">
        <v>320</v>
      </c>
      <c r="C22" s="8"/>
      <c r="D22" s="8"/>
      <c r="E22" s="8" t="s">
        <v>351</v>
      </c>
      <c r="F22" s="8">
        <v>100</v>
      </c>
      <c r="G22" s="8" t="s">
        <v>98</v>
      </c>
      <c r="H22" s="8"/>
      <c r="I22" s="8"/>
      <c r="J22" s="8"/>
      <c r="K22" s="8" t="s">
        <v>327</v>
      </c>
      <c r="L22" s="46"/>
      <c r="M22" s="7"/>
      <c r="N22" s="46">
        <v>20</v>
      </c>
    </row>
    <row r="23" spans="1:14">
      <c r="A23" s="8" t="s">
        <v>357</v>
      </c>
      <c r="B23" s="8" t="s">
        <v>320</v>
      </c>
      <c r="C23" s="8"/>
      <c r="D23" s="8"/>
      <c r="E23" s="8" t="s">
        <v>351</v>
      </c>
      <c r="F23" s="8">
        <v>100</v>
      </c>
      <c r="G23" s="8" t="s">
        <v>98</v>
      </c>
      <c r="H23" s="8"/>
      <c r="I23" s="8"/>
      <c r="J23" s="8"/>
      <c r="K23" s="8" t="s">
        <v>327</v>
      </c>
      <c r="L23" s="46"/>
      <c r="M23" s="7"/>
      <c r="N23" s="46">
        <v>21</v>
      </c>
    </row>
    <row r="24" spans="1:14">
      <c r="A24" s="8" t="s">
        <v>360</v>
      </c>
      <c r="B24" s="8" t="s">
        <v>320</v>
      </c>
      <c r="C24" s="8"/>
      <c r="D24" s="8"/>
      <c r="E24" s="8" t="s">
        <v>351</v>
      </c>
      <c r="F24" s="8">
        <v>100</v>
      </c>
      <c r="G24" s="8" t="s">
        <v>98</v>
      </c>
      <c r="H24" s="8"/>
      <c r="I24" s="8"/>
      <c r="J24" s="8"/>
      <c r="K24" s="8" t="s">
        <v>327</v>
      </c>
      <c r="L24" s="46"/>
      <c r="M24" s="7"/>
      <c r="N24" s="46">
        <v>22</v>
      </c>
    </row>
    <row r="25" spans="1:14">
      <c r="A25" s="8" t="s">
        <v>363</v>
      </c>
      <c r="B25" s="8" t="s">
        <v>320</v>
      </c>
      <c r="C25" s="8"/>
      <c r="D25" s="8"/>
      <c r="E25" s="8" t="s">
        <v>351</v>
      </c>
      <c r="F25" s="8">
        <v>100</v>
      </c>
      <c r="G25" s="8" t="s">
        <v>98</v>
      </c>
      <c r="H25" s="8"/>
      <c r="I25" s="8"/>
      <c r="J25" s="8"/>
      <c r="K25" s="8" t="s">
        <v>327</v>
      </c>
      <c r="L25" s="46"/>
      <c r="M25" s="7"/>
      <c r="N25" s="46">
        <v>23</v>
      </c>
    </row>
    <row r="26" spans="1:14">
      <c r="A26" s="8" t="s">
        <v>366</v>
      </c>
      <c r="B26" s="8" t="s">
        <v>320</v>
      </c>
      <c r="C26" s="8"/>
      <c r="D26" s="8"/>
      <c r="E26" s="8" t="s">
        <v>367</v>
      </c>
      <c r="F26" s="8"/>
      <c r="G26" s="8" t="s">
        <v>98</v>
      </c>
      <c r="H26" s="8"/>
      <c r="I26" s="8"/>
      <c r="J26" s="8"/>
      <c r="K26" s="8" t="s">
        <v>368</v>
      </c>
      <c r="L26" s="46"/>
      <c r="M26" s="7"/>
      <c r="N26" s="46">
        <v>24</v>
      </c>
    </row>
    <row r="27" spans="1:14">
      <c r="A27" s="8" t="s">
        <v>371</v>
      </c>
      <c r="B27" s="8" t="s">
        <v>320</v>
      </c>
      <c r="C27" s="8"/>
      <c r="D27" s="8"/>
      <c r="E27" s="8" t="s">
        <v>367</v>
      </c>
      <c r="F27" s="8"/>
      <c r="G27" s="8" t="s">
        <v>98</v>
      </c>
      <c r="H27" s="8"/>
      <c r="I27" s="8"/>
      <c r="J27" s="8"/>
      <c r="K27" s="8" t="s">
        <v>368</v>
      </c>
      <c r="L27" s="46"/>
      <c r="M27" s="7"/>
      <c r="N27" s="46">
        <v>25</v>
      </c>
    </row>
    <row r="28" spans="1:14">
      <c r="A28" s="8" t="s">
        <v>374</v>
      </c>
      <c r="B28" s="8" t="s">
        <v>320</v>
      </c>
      <c r="C28" s="8"/>
      <c r="D28" s="8"/>
      <c r="E28" s="8" t="s">
        <v>351</v>
      </c>
      <c r="F28" s="8">
        <v>100</v>
      </c>
      <c r="G28" s="8" t="s">
        <v>98</v>
      </c>
      <c r="H28" s="8"/>
      <c r="I28" s="8"/>
      <c r="J28" s="8"/>
      <c r="K28" s="8" t="s">
        <v>327</v>
      </c>
      <c r="L28" s="46"/>
      <c r="M28" s="7"/>
      <c r="N28" s="46">
        <v>26</v>
      </c>
    </row>
    <row r="31" spans="1:14">
      <c r="A31" t="s">
        <v>3533</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tabColor rgb="FFFF0000"/>
  </sheetPr>
  <dimension ref="A1:L20"/>
  <sheetViews>
    <sheetView workbookViewId="0">
      <selection activeCell="A4" sqref="A4"/>
    </sheetView>
  </sheetViews>
  <sheetFormatPr defaultRowHeight="14.45"/>
  <cols>
    <col min="1" max="1" width="34.5703125" customWidth="1"/>
    <col min="2" max="4" width="20.7109375" customWidth="1"/>
    <col min="5" max="7" width="15.7109375" customWidth="1"/>
    <col min="8" max="12" width="20.7109375" customWidth="1"/>
  </cols>
  <sheetData>
    <row r="1" spans="1:12" ht="60" customHeight="1">
      <c r="A1" s="1" t="s">
        <v>145</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3391</v>
      </c>
      <c r="B3" s="6" t="s">
        <v>320</v>
      </c>
      <c r="C3" s="6"/>
      <c r="D3" s="6"/>
      <c r="E3" s="6" t="s">
        <v>319</v>
      </c>
      <c r="F3" s="6"/>
      <c r="G3" s="6" t="s">
        <v>98</v>
      </c>
      <c r="H3" s="6" t="s">
        <v>3534</v>
      </c>
      <c r="I3" s="6"/>
      <c r="J3" s="6"/>
      <c r="K3" s="6">
        <v>-1</v>
      </c>
    </row>
    <row r="4" spans="1:12">
      <c r="A4" s="9" t="s">
        <v>487</v>
      </c>
      <c r="B4" s="9" t="s">
        <v>12</v>
      </c>
      <c r="C4" s="9" t="s">
        <v>232</v>
      </c>
      <c r="D4" s="9" t="s">
        <v>2155</v>
      </c>
      <c r="E4" s="9" t="s">
        <v>351</v>
      </c>
      <c r="F4" s="9">
        <v>5</v>
      </c>
      <c r="G4" s="9" t="s">
        <v>98</v>
      </c>
      <c r="H4" s="9" t="s">
        <v>2626</v>
      </c>
      <c r="I4" s="9"/>
      <c r="J4" s="9"/>
      <c r="K4" s="9" t="s">
        <v>327</v>
      </c>
    </row>
    <row r="5" spans="1:12">
      <c r="A5" s="7" t="s">
        <v>3535</v>
      </c>
      <c r="B5" s="7" t="s">
        <v>12</v>
      </c>
      <c r="C5" s="7" t="s">
        <v>232</v>
      </c>
      <c r="D5" s="7" t="s">
        <v>3536</v>
      </c>
      <c r="E5" s="7" t="s">
        <v>431</v>
      </c>
      <c r="F5" s="7"/>
      <c r="G5" s="7" t="s">
        <v>98</v>
      </c>
      <c r="H5" s="7"/>
      <c r="I5" s="7"/>
      <c r="J5" s="7" t="s">
        <v>942</v>
      </c>
      <c r="K5" s="7">
        <v>-1</v>
      </c>
    </row>
    <row r="6" spans="1:12">
      <c r="A6" s="7" t="s">
        <v>3537</v>
      </c>
      <c r="B6" s="7" t="s">
        <v>12</v>
      </c>
      <c r="C6" s="7" t="s">
        <v>232</v>
      </c>
      <c r="D6" s="7" t="s">
        <v>3538</v>
      </c>
      <c r="E6" s="7" t="s">
        <v>351</v>
      </c>
      <c r="F6" s="7">
        <v>100</v>
      </c>
      <c r="G6" s="7" t="s">
        <v>98</v>
      </c>
      <c r="H6" s="7"/>
      <c r="I6" s="7"/>
      <c r="J6" s="7"/>
      <c r="K6" s="7" t="s">
        <v>327</v>
      </c>
    </row>
    <row r="7" spans="1:12">
      <c r="A7" s="7" t="s">
        <v>345</v>
      </c>
      <c r="B7" s="7" t="s">
        <v>12</v>
      </c>
      <c r="C7" s="7" t="s">
        <v>232</v>
      </c>
      <c r="D7" s="7" t="s">
        <v>347</v>
      </c>
      <c r="E7" s="7" t="s">
        <v>346</v>
      </c>
      <c r="F7" s="7"/>
      <c r="G7" s="7" t="s">
        <v>98</v>
      </c>
      <c r="H7" s="7"/>
      <c r="I7" s="7"/>
      <c r="J7" s="7"/>
      <c r="K7" s="7">
        <v>-1</v>
      </c>
    </row>
    <row r="8" spans="1:12">
      <c r="A8" s="7" t="s">
        <v>1590</v>
      </c>
      <c r="B8" s="7" t="s">
        <v>12</v>
      </c>
      <c r="C8" s="7" t="s">
        <v>232</v>
      </c>
      <c r="D8" s="7" t="s">
        <v>2204</v>
      </c>
      <c r="E8" s="7" t="s">
        <v>367</v>
      </c>
      <c r="F8" s="7"/>
      <c r="G8" s="7" t="s">
        <v>98</v>
      </c>
      <c r="H8" s="7"/>
      <c r="I8" s="7"/>
      <c r="J8" s="7"/>
      <c r="K8" s="7" t="s">
        <v>368</v>
      </c>
    </row>
    <row r="9" spans="1:12">
      <c r="A9" s="7" t="s">
        <v>3354</v>
      </c>
      <c r="B9" s="7" t="s">
        <v>12</v>
      </c>
      <c r="C9" s="7" t="s">
        <v>232</v>
      </c>
      <c r="D9" s="7" t="s">
        <v>3355</v>
      </c>
      <c r="E9" s="7" t="s">
        <v>351</v>
      </c>
      <c r="F9" s="7">
        <v>30</v>
      </c>
      <c r="G9" s="7" t="s">
        <v>98</v>
      </c>
      <c r="H9" s="7"/>
      <c r="I9" s="7"/>
      <c r="J9" s="7"/>
      <c r="K9" s="7" t="s">
        <v>327</v>
      </c>
    </row>
    <row r="10" spans="1:12">
      <c r="A10" s="8" t="s">
        <v>350</v>
      </c>
      <c r="B10" s="8" t="s">
        <v>320</v>
      </c>
      <c r="C10" s="8"/>
      <c r="D10" s="8"/>
      <c r="E10" s="8" t="s">
        <v>351</v>
      </c>
      <c r="F10" s="8">
        <v>100</v>
      </c>
      <c r="G10" s="8" t="s">
        <v>98</v>
      </c>
      <c r="H10" s="8"/>
      <c r="I10" s="8"/>
      <c r="J10" s="8"/>
      <c r="K10" s="8" t="s">
        <v>327</v>
      </c>
    </row>
    <row r="11" spans="1:12">
      <c r="A11" s="8" t="s">
        <v>354</v>
      </c>
      <c r="B11" s="8" t="s">
        <v>320</v>
      </c>
      <c r="C11" s="8"/>
      <c r="D11" s="8"/>
      <c r="E11" s="8" t="s">
        <v>351</v>
      </c>
      <c r="F11" s="8">
        <v>100</v>
      </c>
      <c r="G11" s="8" t="s">
        <v>98</v>
      </c>
      <c r="H11" s="8"/>
      <c r="I11" s="8"/>
      <c r="J11" s="8"/>
      <c r="K11" s="8" t="s">
        <v>327</v>
      </c>
    </row>
    <row r="12" spans="1:12">
      <c r="A12" s="8" t="s">
        <v>357</v>
      </c>
      <c r="B12" s="8" t="s">
        <v>320</v>
      </c>
      <c r="C12" s="8"/>
      <c r="D12" s="8"/>
      <c r="E12" s="8" t="s">
        <v>351</v>
      </c>
      <c r="F12" s="8">
        <v>100</v>
      </c>
      <c r="G12" s="8" t="s">
        <v>98</v>
      </c>
      <c r="H12" s="8"/>
      <c r="I12" s="8"/>
      <c r="J12" s="8"/>
      <c r="K12" s="8" t="s">
        <v>327</v>
      </c>
    </row>
    <row r="13" spans="1:12">
      <c r="A13" s="8" t="s">
        <v>360</v>
      </c>
      <c r="B13" s="8" t="s">
        <v>320</v>
      </c>
      <c r="C13" s="8"/>
      <c r="D13" s="8"/>
      <c r="E13" s="8" t="s">
        <v>351</v>
      </c>
      <c r="F13" s="8">
        <v>100</v>
      </c>
      <c r="G13" s="8" t="s">
        <v>98</v>
      </c>
      <c r="H13" s="8"/>
      <c r="I13" s="8"/>
      <c r="J13" s="8"/>
      <c r="K13" s="8" t="s">
        <v>327</v>
      </c>
    </row>
    <row r="14" spans="1:12">
      <c r="A14" s="8" t="s">
        <v>363</v>
      </c>
      <c r="B14" s="8" t="s">
        <v>320</v>
      </c>
      <c r="C14" s="8"/>
      <c r="D14" s="8"/>
      <c r="E14" s="8" t="s">
        <v>351</v>
      </c>
      <c r="F14" s="8">
        <v>100</v>
      </c>
      <c r="G14" s="8" t="s">
        <v>98</v>
      </c>
      <c r="H14" s="8"/>
      <c r="I14" s="8"/>
      <c r="J14" s="8"/>
      <c r="K14" s="8" t="s">
        <v>327</v>
      </c>
    </row>
    <row r="15" spans="1:12">
      <c r="A15" s="8" t="s">
        <v>366</v>
      </c>
      <c r="B15" s="8" t="s">
        <v>320</v>
      </c>
      <c r="C15" s="8"/>
      <c r="D15" s="8"/>
      <c r="E15" s="8" t="s">
        <v>367</v>
      </c>
      <c r="F15" s="8"/>
      <c r="G15" s="8" t="s">
        <v>98</v>
      </c>
      <c r="H15" s="8"/>
      <c r="I15" s="8"/>
      <c r="J15" s="8"/>
      <c r="K15" s="8" t="s">
        <v>368</v>
      </c>
    </row>
    <row r="16" spans="1:12">
      <c r="A16" s="8" t="s">
        <v>371</v>
      </c>
      <c r="B16" s="8" t="s">
        <v>320</v>
      </c>
      <c r="C16" s="8"/>
      <c r="D16" s="8"/>
      <c r="E16" s="8" t="s">
        <v>367</v>
      </c>
      <c r="F16" s="8"/>
      <c r="G16" s="8" t="s">
        <v>98</v>
      </c>
      <c r="H16" s="8"/>
      <c r="I16" s="8"/>
      <c r="J16" s="8"/>
      <c r="K16" s="8" t="s">
        <v>368</v>
      </c>
    </row>
    <row r="17" spans="1:11">
      <c r="A17" s="8" t="s">
        <v>374</v>
      </c>
      <c r="B17" s="8" t="s">
        <v>320</v>
      </c>
      <c r="C17" s="8"/>
      <c r="D17" s="8"/>
      <c r="E17" s="8" t="s">
        <v>351</v>
      </c>
      <c r="F17" s="8">
        <v>100</v>
      </c>
      <c r="G17" s="8" t="s">
        <v>98</v>
      </c>
      <c r="H17" s="8"/>
      <c r="I17" s="8"/>
      <c r="J17" s="8"/>
      <c r="K17" s="8" t="s">
        <v>327</v>
      </c>
    </row>
    <row r="20" spans="1:11">
      <c r="A20" s="40" t="s">
        <v>3539</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rgb="FFFF0000"/>
  </sheetPr>
  <dimension ref="A1:L21"/>
  <sheetViews>
    <sheetView workbookViewId="0">
      <selection activeCell="A21" sqref="A21"/>
    </sheetView>
  </sheetViews>
  <sheetFormatPr defaultRowHeight="14.45"/>
  <cols>
    <col min="1" max="1" width="34.28515625" customWidth="1"/>
    <col min="2" max="2" width="20.7109375" customWidth="1"/>
    <col min="3" max="3" width="28.28515625" customWidth="1"/>
    <col min="4" max="4" width="20.7109375" customWidth="1"/>
    <col min="5" max="7" width="15.7109375" customWidth="1"/>
    <col min="8" max="12" width="20.7109375" customWidth="1"/>
  </cols>
  <sheetData>
    <row r="1" spans="1:12" ht="60" customHeight="1">
      <c r="A1" s="1" t="s">
        <v>242</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3540</v>
      </c>
      <c r="B3" s="6" t="s">
        <v>320</v>
      </c>
      <c r="C3" s="6"/>
      <c r="D3" s="6"/>
      <c r="E3" s="6" t="s">
        <v>319</v>
      </c>
      <c r="F3" s="6"/>
      <c r="G3" s="6" t="s">
        <v>98</v>
      </c>
      <c r="H3" s="6" t="s">
        <v>3541</v>
      </c>
      <c r="I3" s="6"/>
      <c r="J3" s="6"/>
      <c r="K3" s="6">
        <v>-1</v>
      </c>
    </row>
    <row r="4" spans="1:12">
      <c r="A4" s="27" t="s">
        <v>927</v>
      </c>
      <c r="B4" s="27" t="s">
        <v>12</v>
      </c>
      <c r="C4" s="27" t="s">
        <v>243</v>
      </c>
      <c r="D4" s="27" t="s">
        <v>3542</v>
      </c>
      <c r="E4" s="27" t="s">
        <v>351</v>
      </c>
      <c r="F4" s="27">
        <v>4</v>
      </c>
      <c r="G4" s="27" t="s">
        <v>98</v>
      </c>
      <c r="H4" s="27" t="s">
        <v>3330</v>
      </c>
      <c r="I4" s="27"/>
      <c r="J4" s="27"/>
      <c r="K4" s="27" t="s">
        <v>327</v>
      </c>
    </row>
    <row r="5" spans="1:12">
      <c r="A5" s="27" t="s">
        <v>3391</v>
      </c>
      <c r="B5" s="27" t="s">
        <v>12</v>
      </c>
      <c r="C5" s="27" t="s">
        <v>243</v>
      </c>
      <c r="D5" s="27" t="s">
        <v>488</v>
      </c>
      <c r="E5" s="27" t="s">
        <v>351</v>
      </c>
      <c r="F5" s="27">
        <v>32</v>
      </c>
      <c r="G5" s="27" t="s">
        <v>74</v>
      </c>
      <c r="H5" s="27" t="s">
        <v>3543</v>
      </c>
      <c r="I5" s="27"/>
      <c r="J5" s="27"/>
      <c r="K5" s="27" t="s">
        <v>327</v>
      </c>
    </row>
    <row r="6" spans="1:12">
      <c r="A6" s="7" t="s">
        <v>3544</v>
      </c>
      <c r="B6" s="7" t="s">
        <v>12</v>
      </c>
      <c r="C6" s="7" t="s">
        <v>243</v>
      </c>
      <c r="D6" s="7" t="s">
        <v>3545</v>
      </c>
      <c r="E6" s="7" t="s">
        <v>431</v>
      </c>
      <c r="F6" s="7"/>
      <c r="G6" s="7" t="s">
        <v>98</v>
      </c>
      <c r="H6" s="7" t="s">
        <v>3546</v>
      </c>
      <c r="I6" s="7"/>
      <c r="J6" s="7" t="s">
        <v>942</v>
      </c>
      <c r="K6" s="7">
        <v>-1</v>
      </c>
    </row>
    <row r="7" spans="1:12">
      <c r="A7" s="22" t="s">
        <v>526</v>
      </c>
      <c r="B7" s="22" t="s">
        <v>12</v>
      </c>
      <c r="C7" s="22" t="s">
        <v>243</v>
      </c>
      <c r="D7" s="22" t="s">
        <v>3547</v>
      </c>
      <c r="E7" s="22" t="s">
        <v>351</v>
      </c>
      <c r="F7" s="22">
        <v>3</v>
      </c>
      <c r="G7" s="22" t="s">
        <v>74</v>
      </c>
      <c r="H7" s="22" t="s">
        <v>3548</v>
      </c>
      <c r="I7" s="22"/>
      <c r="J7" s="22"/>
      <c r="K7" s="22" t="s">
        <v>327</v>
      </c>
    </row>
    <row r="8" spans="1:12">
      <c r="A8" s="22" t="s">
        <v>479</v>
      </c>
      <c r="B8" s="22" t="s">
        <v>12</v>
      </c>
      <c r="C8" s="22" t="s">
        <v>243</v>
      </c>
      <c r="D8" s="22" t="s">
        <v>3549</v>
      </c>
      <c r="E8" s="22" t="s">
        <v>351</v>
      </c>
      <c r="F8" s="22">
        <v>4</v>
      </c>
      <c r="G8" s="22" t="s">
        <v>74</v>
      </c>
      <c r="H8" s="22" t="s">
        <v>3550</v>
      </c>
      <c r="I8" s="22"/>
      <c r="J8" s="22"/>
      <c r="K8" s="22" t="s">
        <v>327</v>
      </c>
    </row>
    <row r="9" spans="1:12">
      <c r="A9" s="7" t="s">
        <v>1590</v>
      </c>
      <c r="B9" s="7" t="s">
        <v>12</v>
      </c>
      <c r="C9" s="7" t="s">
        <v>243</v>
      </c>
      <c r="D9" s="7" t="s">
        <v>2204</v>
      </c>
      <c r="E9" s="7" t="s">
        <v>367</v>
      </c>
      <c r="F9" s="7"/>
      <c r="G9" s="7" t="s">
        <v>74</v>
      </c>
      <c r="H9" s="7"/>
      <c r="I9" s="7"/>
      <c r="J9" s="7"/>
      <c r="K9" s="7" t="s">
        <v>368</v>
      </c>
    </row>
    <row r="10" spans="1:12">
      <c r="A10" s="7" t="s">
        <v>3354</v>
      </c>
      <c r="B10" s="7" t="s">
        <v>12</v>
      </c>
      <c r="C10" s="7" t="s">
        <v>243</v>
      </c>
      <c r="D10" s="7" t="s">
        <v>3355</v>
      </c>
      <c r="E10" s="7" t="s">
        <v>351</v>
      </c>
      <c r="F10" s="7">
        <v>50</v>
      </c>
      <c r="G10" s="7" t="s">
        <v>98</v>
      </c>
      <c r="H10" s="7"/>
      <c r="I10" s="7"/>
      <c r="J10" s="7"/>
      <c r="K10" s="7" t="s">
        <v>327</v>
      </c>
    </row>
    <row r="11" spans="1:12">
      <c r="A11" s="8" t="s">
        <v>350</v>
      </c>
      <c r="B11" s="8" t="s">
        <v>320</v>
      </c>
      <c r="C11" s="8"/>
      <c r="D11" s="8"/>
      <c r="E11" s="8" t="s">
        <v>351</v>
      </c>
      <c r="F11" s="8">
        <v>100</v>
      </c>
      <c r="G11" s="8" t="s">
        <v>98</v>
      </c>
      <c r="H11" s="8"/>
      <c r="I11" s="8"/>
      <c r="J11" s="8"/>
      <c r="K11" s="8" t="s">
        <v>327</v>
      </c>
    </row>
    <row r="12" spans="1:12">
      <c r="A12" s="8" t="s">
        <v>354</v>
      </c>
      <c r="B12" s="8" t="s">
        <v>320</v>
      </c>
      <c r="C12" s="8"/>
      <c r="D12" s="8"/>
      <c r="E12" s="8" t="s">
        <v>351</v>
      </c>
      <c r="F12" s="8">
        <v>100</v>
      </c>
      <c r="G12" s="8" t="s">
        <v>98</v>
      </c>
      <c r="H12" s="8"/>
      <c r="I12" s="8"/>
      <c r="J12" s="8"/>
      <c r="K12" s="8" t="s">
        <v>327</v>
      </c>
    </row>
    <row r="13" spans="1:12">
      <c r="A13" s="8" t="s">
        <v>357</v>
      </c>
      <c r="B13" s="8" t="s">
        <v>320</v>
      </c>
      <c r="C13" s="8"/>
      <c r="D13" s="8"/>
      <c r="E13" s="8" t="s">
        <v>351</v>
      </c>
      <c r="F13" s="8">
        <v>100</v>
      </c>
      <c r="G13" s="8" t="s">
        <v>98</v>
      </c>
      <c r="H13" s="8"/>
      <c r="I13" s="8"/>
      <c r="J13" s="8"/>
      <c r="K13" s="8" t="s">
        <v>327</v>
      </c>
    </row>
    <row r="14" spans="1:12">
      <c r="A14" s="8" t="s">
        <v>360</v>
      </c>
      <c r="B14" s="8" t="s">
        <v>320</v>
      </c>
      <c r="C14" s="8"/>
      <c r="D14" s="8"/>
      <c r="E14" s="8" t="s">
        <v>351</v>
      </c>
      <c r="F14" s="8">
        <v>100</v>
      </c>
      <c r="G14" s="8" t="s">
        <v>98</v>
      </c>
      <c r="H14" s="8"/>
      <c r="I14" s="8"/>
      <c r="J14" s="8"/>
      <c r="K14" s="8" t="s">
        <v>327</v>
      </c>
    </row>
    <row r="15" spans="1:12">
      <c r="A15" s="8" t="s">
        <v>363</v>
      </c>
      <c r="B15" s="8" t="s">
        <v>320</v>
      </c>
      <c r="C15" s="8"/>
      <c r="D15" s="8"/>
      <c r="E15" s="8" t="s">
        <v>351</v>
      </c>
      <c r="F15" s="8">
        <v>100</v>
      </c>
      <c r="G15" s="8" t="s">
        <v>98</v>
      </c>
      <c r="H15" s="8"/>
      <c r="I15" s="8"/>
      <c r="J15" s="8"/>
      <c r="K15" s="8" t="s">
        <v>327</v>
      </c>
    </row>
    <row r="16" spans="1:12">
      <c r="A16" s="8" t="s">
        <v>366</v>
      </c>
      <c r="B16" s="8" t="s">
        <v>320</v>
      </c>
      <c r="C16" s="8"/>
      <c r="D16" s="8"/>
      <c r="E16" s="8" t="s">
        <v>367</v>
      </c>
      <c r="F16" s="8"/>
      <c r="G16" s="8" t="s">
        <v>98</v>
      </c>
      <c r="H16" s="8"/>
      <c r="I16" s="8"/>
      <c r="J16" s="8"/>
      <c r="K16" s="8" t="s">
        <v>368</v>
      </c>
    </row>
    <row r="17" spans="1:11">
      <c r="A17" s="8" t="s">
        <v>371</v>
      </c>
      <c r="B17" s="8" t="s">
        <v>320</v>
      </c>
      <c r="C17" s="8"/>
      <c r="D17" s="8"/>
      <c r="E17" s="8" t="s">
        <v>367</v>
      </c>
      <c r="F17" s="8"/>
      <c r="G17" s="8" t="s">
        <v>98</v>
      </c>
      <c r="H17" s="8"/>
      <c r="I17" s="8"/>
      <c r="J17" s="8"/>
      <c r="K17" s="8" t="s">
        <v>368</v>
      </c>
    </row>
    <row r="18" spans="1:11">
      <c r="A18" s="8" t="s">
        <v>374</v>
      </c>
      <c r="B18" s="8" t="s">
        <v>320</v>
      </c>
      <c r="C18" s="8"/>
      <c r="D18" s="8"/>
      <c r="E18" s="8" t="s">
        <v>351</v>
      </c>
      <c r="F18" s="8">
        <v>100</v>
      </c>
      <c r="G18" s="8" t="s">
        <v>98</v>
      </c>
      <c r="H18" s="8"/>
      <c r="I18" s="8"/>
      <c r="J18" s="8"/>
      <c r="K18" s="8" t="s">
        <v>327</v>
      </c>
    </row>
    <row r="21" spans="1:11">
      <c r="A21" s="40" t="s">
        <v>3551</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0">
    <tabColor rgb="FFFF0000"/>
  </sheetPr>
  <dimension ref="A1:L20"/>
  <sheetViews>
    <sheetView workbookViewId="0">
      <selection activeCell="A21" sqref="A21"/>
    </sheetView>
  </sheetViews>
  <sheetFormatPr defaultRowHeight="14.45"/>
  <cols>
    <col min="1" max="1" width="32.140625" customWidth="1"/>
    <col min="2" max="4" width="20.7109375" customWidth="1"/>
    <col min="5" max="7" width="15.7109375" customWidth="1"/>
    <col min="8" max="12" width="20.7109375" customWidth="1"/>
  </cols>
  <sheetData>
    <row r="1" spans="1:12" ht="60" customHeight="1">
      <c r="A1" s="1" t="s">
        <v>245</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3459</v>
      </c>
      <c r="B3" s="6" t="s">
        <v>320</v>
      </c>
      <c r="C3" s="6"/>
      <c r="D3" s="6"/>
      <c r="E3" s="6" t="s">
        <v>319</v>
      </c>
      <c r="F3" s="6"/>
      <c r="G3" s="6" t="s">
        <v>98</v>
      </c>
      <c r="H3" s="6" t="s">
        <v>321</v>
      </c>
      <c r="I3" s="6"/>
      <c r="J3" s="6"/>
      <c r="K3" s="6">
        <v>-1</v>
      </c>
    </row>
    <row r="4" spans="1:12">
      <c r="A4" s="9" t="s">
        <v>3552</v>
      </c>
      <c r="B4" s="9" t="s">
        <v>12</v>
      </c>
      <c r="C4" s="9" t="s">
        <v>246</v>
      </c>
      <c r="D4" s="9" t="s">
        <v>3553</v>
      </c>
      <c r="E4" s="9" t="s">
        <v>351</v>
      </c>
      <c r="F4" s="9">
        <v>10</v>
      </c>
      <c r="G4" s="9" t="s">
        <v>98</v>
      </c>
      <c r="H4" s="9"/>
      <c r="I4" s="9"/>
      <c r="J4" s="9"/>
      <c r="K4" s="9" t="s">
        <v>327</v>
      </c>
    </row>
    <row r="5" spans="1:12">
      <c r="A5" s="9" t="s">
        <v>3554</v>
      </c>
      <c r="B5" s="9" t="s">
        <v>12</v>
      </c>
      <c r="C5" s="9" t="s">
        <v>246</v>
      </c>
      <c r="D5" s="9" t="s">
        <v>3555</v>
      </c>
      <c r="E5" s="9" t="s">
        <v>351</v>
      </c>
      <c r="F5" s="9">
        <v>100</v>
      </c>
      <c r="G5" s="9" t="s">
        <v>98</v>
      </c>
      <c r="H5" s="9"/>
      <c r="I5" s="9"/>
      <c r="J5" s="9"/>
      <c r="K5" s="9" t="s">
        <v>327</v>
      </c>
    </row>
    <row r="6" spans="1:12">
      <c r="A6" s="7" t="s">
        <v>3556</v>
      </c>
      <c r="B6" s="7" t="s">
        <v>12</v>
      </c>
      <c r="C6" s="7" t="s">
        <v>246</v>
      </c>
      <c r="D6" s="7" t="s">
        <v>3460</v>
      </c>
      <c r="E6" s="7" t="s">
        <v>431</v>
      </c>
      <c r="F6" s="7"/>
      <c r="G6" s="7" t="s">
        <v>98</v>
      </c>
      <c r="H6" s="7" t="s">
        <v>3557</v>
      </c>
      <c r="I6" s="7"/>
      <c r="J6" s="7" t="s">
        <v>942</v>
      </c>
      <c r="K6" s="7">
        <v>-1</v>
      </c>
    </row>
    <row r="7" spans="1:12">
      <c r="A7" s="7" t="s">
        <v>345</v>
      </c>
      <c r="B7" s="7" t="s">
        <v>12</v>
      </c>
      <c r="C7" s="7" t="s">
        <v>246</v>
      </c>
      <c r="D7" s="7" t="s">
        <v>347</v>
      </c>
      <c r="E7" s="7" t="s">
        <v>346</v>
      </c>
      <c r="F7" s="7"/>
      <c r="G7" s="7" t="s">
        <v>98</v>
      </c>
      <c r="H7" s="7"/>
      <c r="I7" s="7"/>
      <c r="J7" s="7"/>
      <c r="K7" s="7">
        <v>-1</v>
      </c>
    </row>
    <row r="8" spans="1:12">
      <c r="A8" s="7" t="s">
        <v>1590</v>
      </c>
      <c r="B8" s="7" t="s">
        <v>12</v>
      </c>
      <c r="C8" s="7" t="s">
        <v>246</v>
      </c>
      <c r="D8" s="7" t="s">
        <v>2204</v>
      </c>
      <c r="E8" s="7" t="s">
        <v>367</v>
      </c>
      <c r="F8" s="7"/>
      <c r="G8" s="7" t="s">
        <v>98</v>
      </c>
      <c r="H8" s="7"/>
      <c r="I8" s="7"/>
      <c r="J8" s="7"/>
      <c r="K8" s="7" t="s">
        <v>368</v>
      </c>
    </row>
    <row r="9" spans="1:12">
      <c r="A9" s="7" t="s">
        <v>3354</v>
      </c>
      <c r="B9" s="7" t="s">
        <v>12</v>
      </c>
      <c r="C9" s="7" t="s">
        <v>246</v>
      </c>
      <c r="D9" s="7" t="s">
        <v>3355</v>
      </c>
      <c r="E9" s="7" t="s">
        <v>351</v>
      </c>
      <c r="F9" s="7">
        <v>30</v>
      </c>
      <c r="G9" s="7" t="s">
        <v>98</v>
      </c>
      <c r="H9" s="7"/>
      <c r="I9" s="7"/>
      <c r="J9" s="7"/>
      <c r="K9" s="7" t="s">
        <v>327</v>
      </c>
    </row>
    <row r="10" spans="1:12">
      <c r="A10" s="8" t="s">
        <v>350</v>
      </c>
      <c r="B10" s="8" t="s">
        <v>320</v>
      </c>
      <c r="C10" s="8"/>
      <c r="D10" s="8"/>
      <c r="E10" s="8" t="s">
        <v>351</v>
      </c>
      <c r="F10" s="8">
        <v>100</v>
      </c>
      <c r="G10" s="8" t="s">
        <v>98</v>
      </c>
      <c r="H10" s="8"/>
      <c r="I10" s="8"/>
      <c r="J10" s="8"/>
      <c r="K10" s="8" t="s">
        <v>327</v>
      </c>
    </row>
    <row r="11" spans="1:12">
      <c r="A11" s="8" t="s">
        <v>354</v>
      </c>
      <c r="B11" s="8" t="s">
        <v>320</v>
      </c>
      <c r="C11" s="8"/>
      <c r="D11" s="8"/>
      <c r="E11" s="8" t="s">
        <v>351</v>
      </c>
      <c r="F11" s="8">
        <v>100</v>
      </c>
      <c r="G11" s="8" t="s">
        <v>98</v>
      </c>
      <c r="H11" s="8"/>
      <c r="I11" s="8"/>
      <c r="J11" s="8"/>
      <c r="K11" s="8" t="s">
        <v>327</v>
      </c>
    </row>
    <row r="12" spans="1:12">
      <c r="A12" s="8" t="s">
        <v>357</v>
      </c>
      <c r="B12" s="8" t="s">
        <v>320</v>
      </c>
      <c r="C12" s="8"/>
      <c r="D12" s="8"/>
      <c r="E12" s="8" t="s">
        <v>351</v>
      </c>
      <c r="F12" s="8">
        <v>100</v>
      </c>
      <c r="G12" s="8" t="s">
        <v>98</v>
      </c>
      <c r="H12" s="8"/>
      <c r="I12" s="8"/>
      <c r="J12" s="8"/>
      <c r="K12" s="8" t="s">
        <v>327</v>
      </c>
    </row>
    <row r="13" spans="1:12">
      <c r="A13" s="8" t="s">
        <v>360</v>
      </c>
      <c r="B13" s="8" t="s">
        <v>320</v>
      </c>
      <c r="C13" s="8"/>
      <c r="D13" s="8"/>
      <c r="E13" s="8" t="s">
        <v>351</v>
      </c>
      <c r="F13" s="8">
        <v>100</v>
      </c>
      <c r="G13" s="8" t="s">
        <v>98</v>
      </c>
      <c r="H13" s="8"/>
      <c r="I13" s="8"/>
      <c r="J13" s="8"/>
      <c r="K13" s="8" t="s">
        <v>327</v>
      </c>
    </row>
    <row r="14" spans="1:12">
      <c r="A14" s="8" t="s">
        <v>363</v>
      </c>
      <c r="B14" s="8" t="s">
        <v>320</v>
      </c>
      <c r="C14" s="8"/>
      <c r="D14" s="8"/>
      <c r="E14" s="8" t="s">
        <v>351</v>
      </c>
      <c r="F14" s="8">
        <v>100</v>
      </c>
      <c r="G14" s="8" t="s">
        <v>98</v>
      </c>
      <c r="H14" s="8"/>
      <c r="I14" s="8"/>
      <c r="J14" s="8"/>
      <c r="K14" s="8" t="s">
        <v>327</v>
      </c>
    </row>
    <row r="15" spans="1:12">
      <c r="A15" s="8" t="s">
        <v>366</v>
      </c>
      <c r="B15" s="8" t="s">
        <v>320</v>
      </c>
      <c r="C15" s="8"/>
      <c r="D15" s="8"/>
      <c r="E15" s="8" t="s">
        <v>367</v>
      </c>
      <c r="F15" s="8"/>
      <c r="G15" s="8" t="s">
        <v>98</v>
      </c>
      <c r="H15" s="8"/>
      <c r="I15" s="8"/>
      <c r="J15" s="8"/>
      <c r="K15" s="8" t="s">
        <v>368</v>
      </c>
    </row>
    <row r="16" spans="1:12">
      <c r="A16" s="8" t="s">
        <v>371</v>
      </c>
      <c r="B16" s="8" t="s">
        <v>320</v>
      </c>
      <c r="C16" s="8"/>
      <c r="D16" s="8"/>
      <c r="E16" s="8" t="s">
        <v>367</v>
      </c>
      <c r="F16" s="8"/>
      <c r="G16" s="8" t="s">
        <v>98</v>
      </c>
      <c r="H16" s="8"/>
      <c r="I16" s="8"/>
      <c r="J16" s="8"/>
      <c r="K16" s="8" t="s">
        <v>368</v>
      </c>
    </row>
    <row r="17" spans="1:11">
      <c r="A17" s="8" t="s">
        <v>374</v>
      </c>
      <c r="B17" s="8" t="s">
        <v>320</v>
      </c>
      <c r="C17" s="8"/>
      <c r="D17" s="8"/>
      <c r="E17" s="8" t="s">
        <v>351</v>
      </c>
      <c r="F17" s="8">
        <v>100</v>
      </c>
      <c r="G17" s="8" t="s">
        <v>98</v>
      </c>
      <c r="H17" s="8"/>
      <c r="I17" s="8"/>
      <c r="J17" s="8"/>
      <c r="K17" s="8" t="s">
        <v>327</v>
      </c>
    </row>
    <row r="20" spans="1:11">
      <c r="A20" s="40" t="s">
        <v>3558</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2">
    <tabColor rgb="FFFF0000"/>
  </sheetPr>
  <dimension ref="A1:L27"/>
  <sheetViews>
    <sheetView workbookViewId="0">
      <selection activeCell="A15" sqref="A15"/>
    </sheetView>
  </sheetViews>
  <sheetFormatPr defaultRowHeight="14.45"/>
  <cols>
    <col min="1" max="1" width="30.85546875" customWidth="1"/>
    <col min="2" max="4" width="20.7109375" customWidth="1"/>
    <col min="5" max="7" width="15.7109375" customWidth="1"/>
    <col min="8" max="8" width="44.5703125" customWidth="1"/>
    <col min="9" max="12" width="20.7109375" customWidth="1"/>
  </cols>
  <sheetData>
    <row r="1" spans="1:12" ht="60" customHeight="1">
      <c r="A1" s="1" t="s">
        <v>252</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3559</v>
      </c>
      <c r="B3" s="6" t="s">
        <v>320</v>
      </c>
      <c r="C3" s="6"/>
      <c r="D3" s="6"/>
      <c r="E3" s="6" t="s">
        <v>319</v>
      </c>
      <c r="F3" s="6">
        <v>0</v>
      </c>
      <c r="G3" s="6" t="s">
        <v>98</v>
      </c>
      <c r="H3" s="6"/>
      <c r="I3" s="6"/>
      <c r="J3" s="6" t="s">
        <v>3241</v>
      </c>
      <c r="K3" s="6">
        <v>-1</v>
      </c>
    </row>
    <row r="4" spans="1:12">
      <c r="A4" s="27" t="s">
        <v>1292</v>
      </c>
      <c r="B4" s="27" t="s">
        <v>12</v>
      </c>
      <c r="C4" s="27" t="s">
        <v>2432</v>
      </c>
      <c r="D4" s="27" t="s">
        <v>3560</v>
      </c>
      <c r="E4" s="27" t="s">
        <v>431</v>
      </c>
      <c r="F4" s="27">
        <v>0</v>
      </c>
      <c r="G4" s="27" t="s">
        <v>98</v>
      </c>
      <c r="H4" s="27" t="s">
        <v>3031</v>
      </c>
      <c r="I4" s="27"/>
      <c r="J4" s="27" t="s">
        <v>3241</v>
      </c>
      <c r="K4" s="27">
        <v>-1</v>
      </c>
    </row>
    <row r="5" spans="1:12">
      <c r="A5" s="9" t="s">
        <v>3239</v>
      </c>
      <c r="B5" s="9" t="s">
        <v>12</v>
      </c>
      <c r="C5" s="9" t="s">
        <v>2432</v>
      </c>
      <c r="D5" s="9" t="s">
        <v>3136</v>
      </c>
      <c r="E5" s="9" t="s">
        <v>351</v>
      </c>
      <c r="F5" s="9">
        <v>50</v>
      </c>
      <c r="G5" s="9" t="s">
        <v>98</v>
      </c>
      <c r="H5" s="9" t="s">
        <v>3240</v>
      </c>
      <c r="I5" s="9"/>
      <c r="J5" s="9" t="s">
        <v>3241</v>
      </c>
      <c r="K5" s="9" t="s">
        <v>327</v>
      </c>
    </row>
    <row r="6" spans="1:12">
      <c r="A6" s="9" t="s">
        <v>3239</v>
      </c>
      <c r="B6" s="9" t="s">
        <v>12</v>
      </c>
      <c r="C6" s="9" t="s">
        <v>2432</v>
      </c>
      <c r="D6" s="9" t="s">
        <v>3126</v>
      </c>
      <c r="E6" s="9" t="s">
        <v>351</v>
      </c>
      <c r="F6" s="9">
        <v>50</v>
      </c>
      <c r="G6" s="9" t="s">
        <v>98</v>
      </c>
      <c r="H6" s="9" t="s">
        <v>3240</v>
      </c>
      <c r="I6" s="9"/>
      <c r="J6" s="9" t="s">
        <v>3241</v>
      </c>
      <c r="K6" s="9" t="s">
        <v>327</v>
      </c>
    </row>
    <row r="7" spans="1:12">
      <c r="A7" s="9" t="s">
        <v>3239</v>
      </c>
      <c r="B7" s="9" t="s">
        <v>12</v>
      </c>
      <c r="C7" s="9" t="s">
        <v>2432</v>
      </c>
      <c r="D7" s="9" t="s">
        <v>3122</v>
      </c>
      <c r="E7" s="9" t="s">
        <v>351</v>
      </c>
      <c r="F7" s="9">
        <v>50</v>
      </c>
      <c r="G7" s="9" t="s">
        <v>98</v>
      </c>
      <c r="H7" s="9" t="s">
        <v>3240</v>
      </c>
      <c r="I7" s="9"/>
      <c r="J7" s="9" t="s">
        <v>3241</v>
      </c>
      <c r="K7" s="9" t="s">
        <v>327</v>
      </c>
    </row>
    <row r="8" spans="1:12">
      <c r="A8" s="9" t="s">
        <v>3239</v>
      </c>
      <c r="B8" s="9" t="s">
        <v>40</v>
      </c>
      <c r="C8" s="9" t="s">
        <v>3561</v>
      </c>
      <c r="D8" s="9" t="s">
        <v>3562</v>
      </c>
      <c r="E8" s="9" t="s">
        <v>351</v>
      </c>
      <c r="F8" s="9">
        <v>256</v>
      </c>
      <c r="G8" s="9" t="s">
        <v>98</v>
      </c>
      <c r="H8" s="9" t="s">
        <v>3240</v>
      </c>
      <c r="I8" s="9"/>
      <c r="J8" s="9" t="s">
        <v>3241</v>
      </c>
      <c r="K8" s="9" t="s">
        <v>327</v>
      </c>
    </row>
    <row r="9" spans="1:12">
      <c r="A9" s="7" t="s">
        <v>2433</v>
      </c>
      <c r="B9" s="7" t="s">
        <v>40</v>
      </c>
      <c r="C9" s="7" t="s">
        <v>3561</v>
      </c>
      <c r="D9" s="7" t="s">
        <v>3562</v>
      </c>
      <c r="E9" s="7" t="s">
        <v>351</v>
      </c>
      <c r="F9" s="7">
        <v>8</v>
      </c>
      <c r="G9" s="7" t="s">
        <v>98</v>
      </c>
      <c r="H9" s="7"/>
      <c r="I9" s="7"/>
      <c r="J9" s="7" t="s">
        <v>3241</v>
      </c>
      <c r="K9" s="7" t="s">
        <v>327</v>
      </c>
    </row>
    <row r="10" spans="1:12">
      <c r="A10" s="22" t="s">
        <v>1715</v>
      </c>
      <c r="B10" s="22" t="s">
        <v>40</v>
      </c>
      <c r="C10" s="22" t="s">
        <v>3561</v>
      </c>
      <c r="D10" s="22" t="s">
        <v>3563</v>
      </c>
      <c r="E10" s="22" t="s">
        <v>351</v>
      </c>
      <c r="F10" s="22">
        <v>10</v>
      </c>
      <c r="G10" s="22" t="s">
        <v>74</v>
      </c>
      <c r="H10" s="22" t="s">
        <v>3564</v>
      </c>
      <c r="I10" s="22"/>
      <c r="J10" s="22" t="s">
        <v>3241</v>
      </c>
      <c r="K10" s="22" t="s">
        <v>327</v>
      </c>
    </row>
    <row r="11" spans="1:12">
      <c r="A11" s="22" t="s">
        <v>1072</v>
      </c>
      <c r="B11" s="22" t="s">
        <v>40</v>
      </c>
      <c r="C11" s="22" t="s">
        <v>3561</v>
      </c>
      <c r="D11" s="22" t="s">
        <v>3565</v>
      </c>
      <c r="E11" s="22" t="s">
        <v>351</v>
      </c>
      <c r="F11" s="22">
        <v>2</v>
      </c>
      <c r="G11" s="22" t="s">
        <v>74</v>
      </c>
      <c r="H11" s="22" t="s">
        <v>3566</v>
      </c>
      <c r="I11" s="22"/>
      <c r="J11" s="22" t="s">
        <v>3241</v>
      </c>
      <c r="K11" s="22" t="s">
        <v>327</v>
      </c>
    </row>
    <row r="12" spans="1:12">
      <c r="A12" s="22" t="s">
        <v>479</v>
      </c>
      <c r="B12" s="22" t="s">
        <v>40</v>
      </c>
      <c r="C12" s="22" t="s">
        <v>3561</v>
      </c>
      <c r="D12" s="22" t="s">
        <v>3567</v>
      </c>
      <c r="E12" s="22" t="s">
        <v>351</v>
      </c>
      <c r="F12" s="22">
        <v>4</v>
      </c>
      <c r="G12" s="22" t="s">
        <v>74</v>
      </c>
      <c r="H12" s="22" t="s">
        <v>3550</v>
      </c>
      <c r="I12" s="22"/>
      <c r="J12" s="22" t="s">
        <v>3241</v>
      </c>
      <c r="K12" s="22" t="s">
        <v>327</v>
      </c>
    </row>
    <row r="13" spans="1:12">
      <c r="A13" s="22" t="s">
        <v>3431</v>
      </c>
      <c r="B13" s="22" t="s">
        <v>40</v>
      </c>
      <c r="C13" s="22" t="s">
        <v>3561</v>
      </c>
      <c r="D13" s="22" t="s">
        <v>3568</v>
      </c>
      <c r="E13" s="22" t="s">
        <v>351</v>
      </c>
      <c r="F13" s="22">
        <v>1</v>
      </c>
      <c r="G13" s="22" t="s">
        <v>74</v>
      </c>
      <c r="H13" s="22" t="s">
        <v>3569</v>
      </c>
      <c r="I13" s="22"/>
      <c r="J13" s="22" t="s">
        <v>3241</v>
      </c>
      <c r="K13" s="22" t="s">
        <v>327</v>
      </c>
    </row>
    <row r="14" spans="1:12">
      <c r="A14" s="22" t="s">
        <v>619</v>
      </c>
      <c r="B14" s="22" t="s">
        <v>40</v>
      </c>
      <c r="C14" s="22" t="s">
        <v>3561</v>
      </c>
      <c r="D14" s="22" t="s">
        <v>3570</v>
      </c>
      <c r="E14" s="22" t="s">
        <v>351</v>
      </c>
      <c r="F14" s="22">
        <v>2</v>
      </c>
      <c r="G14" s="22" t="s">
        <v>74</v>
      </c>
      <c r="H14" s="22" t="s">
        <v>3571</v>
      </c>
      <c r="I14" s="22"/>
      <c r="J14" s="22" t="s">
        <v>3241</v>
      </c>
      <c r="K14" s="22" t="s">
        <v>327</v>
      </c>
    </row>
    <row r="15" spans="1:12">
      <c r="A15" s="22" t="s">
        <v>3357</v>
      </c>
      <c r="B15" s="22" t="s">
        <v>40</v>
      </c>
      <c r="C15" s="22" t="s">
        <v>3572</v>
      </c>
      <c r="D15" s="22" t="s">
        <v>3573</v>
      </c>
      <c r="E15" s="22" t="s">
        <v>351</v>
      </c>
      <c r="F15" s="22">
        <v>2</v>
      </c>
      <c r="G15" s="22" t="s">
        <v>74</v>
      </c>
      <c r="H15" s="22" t="s">
        <v>3574</v>
      </c>
      <c r="I15" s="22"/>
      <c r="J15" s="22" t="s">
        <v>3241</v>
      </c>
      <c r="K15" s="22" t="s">
        <v>327</v>
      </c>
    </row>
    <row r="16" spans="1:12">
      <c r="A16" s="22" t="s">
        <v>318</v>
      </c>
      <c r="B16" s="22" t="s">
        <v>40</v>
      </c>
      <c r="C16" s="22" t="s">
        <v>3572</v>
      </c>
      <c r="D16" s="22" t="s">
        <v>3575</v>
      </c>
      <c r="E16" s="22" t="s">
        <v>351</v>
      </c>
      <c r="F16" s="22">
        <v>2</v>
      </c>
      <c r="G16" s="22" t="s">
        <v>74</v>
      </c>
      <c r="H16" s="22" t="s">
        <v>3576</v>
      </c>
      <c r="I16" s="22"/>
      <c r="J16" s="22" t="s">
        <v>3241</v>
      </c>
      <c r="K16" s="22" t="s">
        <v>327</v>
      </c>
    </row>
    <row r="17" spans="1:11">
      <c r="A17" s="8" t="s">
        <v>350</v>
      </c>
      <c r="B17" s="8" t="s">
        <v>320</v>
      </c>
      <c r="C17" s="8"/>
      <c r="D17" s="8"/>
      <c r="E17" s="8" t="s">
        <v>351</v>
      </c>
      <c r="F17" s="8">
        <v>100</v>
      </c>
      <c r="G17" s="8" t="s">
        <v>98</v>
      </c>
      <c r="H17" s="8"/>
      <c r="I17" s="8"/>
      <c r="J17" s="8"/>
      <c r="K17" s="8" t="s">
        <v>327</v>
      </c>
    </row>
    <row r="18" spans="1:11">
      <c r="A18" s="8" t="s">
        <v>354</v>
      </c>
      <c r="B18" s="8" t="s">
        <v>320</v>
      </c>
      <c r="C18" s="8"/>
      <c r="D18" s="8"/>
      <c r="E18" s="8" t="s">
        <v>351</v>
      </c>
      <c r="F18" s="8">
        <v>100</v>
      </c>
      <c r="G18" s="8" t="s">
        <v>98</v>
      </c>
      <c r="H18" s="8"/>
      <c r="I18" s="8"/>
      <c r="J18" s="8"/>
      <c r="K18" s="8" t="s">
        <v>327</v>
      </c>
    </row>
    <row r="19" spans="1:11">
      <c r="A19" s="8" t="s">
        <v>357</v>
      </c>
      <c r="B19" s="8" t="s">
        <v>320</v>
      </c>
      <c r="C19" s="8"/>
      <c r="D19" s="8"/>
      <c r="E19" s="8" t="s">
        <v>351</v>
      </c>
      <c r="F19" s="8">
        <v>100</v>
      </c>
      <c r="G19" s="8" t="s">
        <v>98</v>
      </c>
      <c r="H19" s="8"/>
      <c r="I19" s="8"/>
      <c r="J19" s="8"/>
      <c r="K19" s="8" t="s">
        <v>327</v>
      </c>
    </row>
    <row r="20" spans="1:11">
      <c r="A20" s="8" t="s">
        <v>360</v>
      </c>
      <c r="B20" s="8" t="s">
        <v>320</v>
      </c>
      <c r="C20" s="8"/>
      <c r="D20" s="8"/>
      <c r="E20" s="8" t="s">
        <v>351</v>
      </c>
      <c r="F20" s="8">
        <v>100</v>
      </c>
      <c r="G20" s="8" t="s">
        <v>98</v>
      </c>
      <c r="H20" s="8"/>
      <c r="I20" s="8"/>
      <c r="J20" s="8"/>
      <c r="K20" s="8" t="s">
        <v>327</v>
      </c>
    </row>
    <row r="21" spans="1:11">
      <c r="A21" s="8" t="s">
        <v>363</v>
      </c>
      <c r="B21" s="8" t="s">
        <v>320</v>
      </c>
      <c r="C21" s="8"/>
      <c r="D21" s="8"/>
      <c r="E21" s="8" t="s">
        <v>351</v>
      </c>
      <c r="F21" s="8">
        <v>100</v>
      </c>
      <c r="G21" s="8" t="s">
        <v>98</v>
      </c>
      <c r="H21" s="8"/>
      <c r="I21" s="8"/>
      <c r="J21" s="8"/>
      <c r="K21" s="8" t="s">
        <v>327</v>
      </c>
    </row>
    <row r="22" spans="1:11">
      <c r="A22" s="8" t="s">
        <v>366</v>
      </c>
      <c r="B22" s="8" t="s">
        <v>320</v>
      </c>
      <c r="C22" s="8"/>
      <c r="D22" s="8"/>
      <c r="E22" s="8" t="s">
        <v>367</v>
      </c>
      <c r="F22" s="8"/>
      <c r="G22" s="8" t="s">
        <v>98</v>
      </c>
      <c r="H22" s="8"/>
      <c r="I22" s="8"/>
      <c r="J22" s="8"/>
      <c r="K22" s="8" t="s">
        <v>368</v>
      </c>
    </row>
    <row r="23" spans="1:11">
      <c r="A23" s="8" t="s">
        <v>371</v>
      </c>
      <c r="B23" s="8" t="s">
        <v>320</v>
      </c>
      <c r="C23" s="8"/>
      <c r="D23" s="8"/>
      <c r="E23" s="8" t="s">
        <v>367</v>
      </c>
      <c r="F23" s="8"/>
      <c r="G23" s="8" t="s">
        <v>98</v>
      </c>
      <c r="H23" s="8"/>
      <c r="I23" s="8"/>
      <c r="J23" s="8"/>
      <c r="K23" s="8" t="s">
        <v>368</v>
      </c>
    </row>
    <row r="24" spans="1:11">
      <c r="A24" s="8" t="s">
        <v>374</v>
      </c>
      <c r="B24" s="8" t="s">
        <v>320</v>
      </c>
      <c r="C24" s="8"/>
      <c r="D24" s="8"/>
      <c r="E24" s="8" t="s">
        <v>351</v>
      </c>
      <c r="F24" s="8">
        <v>100</v>
      </c>
      <c r="G24" s="8" t="s">
        <v>98</v>
      </c>
      <c r="H24" s="8"/>
      <c r="I24" s="8"/>
      <c r="J24" s="8"/>
      <c r="K24" s="8" t="s">
        <v>327</v>
      </c>
    </row>
    <row r="27" spans="1:11">
      <c r="A27" s="40" t="s">
        <v>3577</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3">
    <tabColor rgb="FFFF0000"/>
  </sheetPr>
  <dimension ref="A1:N21"/>
  <sheetViews>
    <sheetView topLeftCell="A9" workbookViewId="0">
      <selection activeCell="A17" sqref="A17"/>
    </sheetView>
  </sheetViews>
  <sheetFormatPr defaultRowHeight="14.45"/>
  <cols>
    <col min="1" max="1" width="34.140625" customWidth="1"/>
    <col min="2" max="4" width="20.7109375" customWidth="1"/>
    <col min="5" max="7" width="15.7109375" customWidth="1"/>
    <col min="8" max="11" width="20.7109375" customWidth="1"/>
    <col min="12" max="12" width="15.7109375" bestFit="1" customWidth="1"/>
    <col min="13" max="13" width="39.28515625" customWidth="1"/>
    <col min="14" max="14" width="17.28515625" style="44" bestFit="1" customWidth="1"/>
  </cols>
  <sheetData>
    <row r="1" spans="1:14" ht="60" customHeight="1">
      <c r="A1" s="1" t="s">
        <v>255</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3578</v>
      </c>
      <c r="B3" s="6" t="s">
        <v>320</v>
      </c>
      <c r="C3" s="6"/>
      <c r="D3" s="6"/>
      <c r="E3" s="6" t="s">
        <v>319</v>
      </c>
      <c r="F3" s="6"/>
      <c r="G3" s="6" t="s">
        <v>98</v>
      </c>
      <c r="H3" s="6" t="s">
        <v>321</v>
      </c>
      <c r="I3" s="6"/>
      <c r="J3" s="6"/>
      <c r="K3" s="6">
        <v>-1</v>
      </c>
      <c r="L3" s="46"/>
      <c r="M3" s="7"/>
      <c r="N3" s="46">
        <v>1</v>
      </c>
    </row>
    <row r="4" spans="1:14">
      <c r="A4" s="27" t="s">
        <v>1292</v>
      </c>
      <c r="B4" s="27" t="s">
        <v>12</v>
      </c>
      <c r="C4" s="27" t="s">
        <v>256</v>
      </c>
      <c r="D4" s="27" t="s">
        <v>3103</v>
      </c>
      <c r="E4" s="27" t="s">
        <v>431</v>
      </c>
      <c r="F4" s="27"/>
      <c r="G4" s="27" t="s">
        <v>98</v>
      </c>
      <c r="H4" s="27" t="s">
        <v>3031</v>
      </c>
      <c r="I4" s="27"/>
      <c r="J4" s="27"/>
      <c r="K4" s="27">
        <v>-1</v>
      </c>
      <c r="L4" s="46"/>
      <c r="M4" s="7"/>
      <c r="N4" s="46">
        <v>2</v>
      </c>
    </row>
    <row r="5" spans="1:14">
      <c r="A5" s="27" t="s">
        <v>1715</v>
      </c>
      <c r="B5" s="27" t="s">
        <v>12</v>
      </c>
      <c r="C5" s="27" t="s">
        <v>256</v>
      </c>
      <c r="D5" s="27" t="s">
        <v>3579</v>
      </c>
      <c r="E5" s="27" t="s">
        <v>431</v>
      </c>
      <c r="F5" s="27"/>
      <c r="G5" s="27" t="s">
        <v>74</v>
      </c>
      <c r="H5" s="27" t="s">
        <v>3564</v>
      </c>
      <c r="I5" s="27"/>
      <c r="J5" s="27"/>
      <c r="K5" s="27">
        <v>-1</v>
      </c>
      <c r="L5" s="46"/>
      <c r="M5" s="7"/>
      <c r="N5" s="46">
        <v>3</v>
      </c>
    </row>
    <row r="6" spans="1:14">
      <c r="A6" s="7" t="s">
        <v>3580</v>
      </c>
      <c r="B6" s="7" t="s">
        <v>12</v>
      </c>
      <c r="C6" s="7" t="s">
        <v>256</v>
      </c>
      <c r="D6" s="7" t="s">
        <v>3581</v>
      </c>
      <c r="E6" s="7" t="s">
        <v>367</v>
      </c>
      <c r="F6" s="7"/>
      <c r="G6" s="7" t="s">
        <v>98</v>
      </c>
      <c r="H6" s="7"/>
      <c r="I6" s="7"/>
      <c r="J6" s="7"/>
      <c r="K6" s="7" t="s">
        <v>368</v>
      </c>
      <c r="L6" s="46"/>
      <c r="M6" s="7"/>
      <c r="N6" s="46">
        <v>5</v>
      </c>
    </row>
    <row r="7" spans="1:14">
      <c r="A7" s="7" t="s">
        <v>2446</v>
      </c>
      <c r="B7" s="7" t="s">
        <v>12</v>
      </c>
      <c r="C7" s="7" t="s">
        <v>256</v>
      </c>
      <c r="D7" s="7" t="s">
        <v>3582</v>
      </c>
      <c r="E7" s="7" t="s">
        <v>367</v>
      </c>
      <c r="F7" s="7"/>
      <c r="G7" s="7" t="s">
        <v>74</v>
      </c>
      <c r="H7" s="7"/>
      <c r="I7" s="7"/>
      <c r="J7" s="7"/>
      <c r="K7" s="7" t="s">
        <v>368</v>
      </c>
      <c r="L7" s="46"/>
      <c r="M7" s="7"/>
      <c r="N7" s="46">
        <v>6</v>
      </c>
    </row>
    <row r="8" spans="1:14">
      <c r="A8" s="7" t="s">
        <v>1590</v>
      </c>
      <c r="B8" s="7" t="s">
        <v>12</v>
      </c>
      <c r="C8" s="7" t="s">
        <v>256</v>
      </c>
      <c r="D8" s="7" t="s">
        <v>2204</v>
      </c>
      <c r="E8" s="7" t="s">
        <v>367</v>
      </c>
      <c r="F8" s="7"/>
      <c r="G8" s="7" t="s">
        <v>74</v>
      </c>
      <c r="H8" s="7"/>
      <c r="I8" s="7"/>
      <c r="J8" s="7"/>
      <c r="K8" s="7" t="s">
        <v>368</v>
      </c>
      <c r="L8" s="46"/>
      <c r="M8" s="7" t="s">
        <v>2661</v>
      </c>
      <c r="N8" s="46">
        <v>7</v>
      </c>
    </row>
    <row r="9" spans="1:14">
      <c r="A9" s="8" t="s">
        <v>350</v>
      </c>
      <c r="B9" s="8" t="s">
        <v>320</v>
      </c>
      <c r="C9" s="8"/>
      <c r="D9" s="8"/>
      <c r="E9" s="8" t="s">
        <v>351</v>
      </c>
      <c r="F9" s="8">
        <v>100</v>
      </c>
      <c r="G9" s="8" t="s">
        <v>98</v>
      </c>
      <c r="H9" s="8"/>
      <c r="I9" s="8"/>
      <c r="J9" s="8"/>
      <c r="K9" s="8" t="s">
        <v>327</v>
      </c>
      <c r="L9" s="46"/>
      <c r="M9" s="7"/>
      <c r="N9" s="46">
        <v>8</v>
      </c>
    </row>
    <row r="10" spans="1:14">
      <c r="A10" s="8" t="s">
        <v>354</v>
      </c>
      <c r="B10" s="8" t="s">
        <v>320</v>
      </c>
      <c r="C10" s="8"/>
      <c r="D10" s="8"/>
      <c r="E10" s="8" t="s">
        <v>351</v>
      </c>
      <c r="F10" s="8">
        <v>100</v>
      </c>
      <c r="G10" s="8" t="s">
        <v>98</v>
      </c>
      <c r="H10" s="8"/>
      <c r="I10" s="8"/>
      <c r="J10" s="8"/>
      <c r="K10" s="8" t="s">
        <v>327</v>
      </c>
      <c r="L10" s="46"/>
      <c r="M10" s="7"/>
      <c r="N10" s="46">
        <v>9</v>
      </c>
    </row>
    <row r="11" spans="1:14">
      <c r="A11" s="8" t="s">
        <v>357</v>
      </c>
      <c r="B11" s="8" t="s">
        <v>320</v>
      </c>
      <c r="C11" s="8"/>
      <c r="D11" s="8"/>
      <c r="E11" s="8" t="s">
        <v>351</v>
      </c>
      <c r="F11" s="8">
        <v>100</v>
      </c>
      <c r="G11" s="8" t="s">
        <v>98</v>
      </c>
      <c r="H11" s="8"/>
      <c r="I11" s="8"/>
      <c r="J11" s="8"/>
      <c r="K11" s="8" t="s">
        <v>327</v>
      </c>
      <c r="L11" s="46"/>
      <c r="M11" s="7"/>
      <c r="N11" s="46">
        <v>10</v>
      </c>
    </row>
    <row r="12" spans="1:14">
      <c r="A12" s="8" t="s">
        <v>360</v>
      </c>
      <c r="B12" s="8" t="s">
        <v>320</v>
      </c>
      <c r="C12" s="8"/>
      <c r="D12" s="8"/>
      <c r="E12" s="8" t="s">
        <v>351</v>
      </c>
      <c r="F12" s="8">
        <v>100</v>
      </c>
      <c r="G12" s="8" t="s">
        <v>98</v>
      </c>
      <c r="H12" s="8"/>
      <c r="I12" s="8"/>
      <c r="J12" s="8"/>
      <c r="K12" s="8" t="s">
        <v>327</v>
      </c>
      <c r="L12" s="46"/>
      <c r="M12" s="7"/>
      <c r="N12" s="46">
        <v>11</v>
      </c>
    </row>
    <row r="13" spans="1:14">
      <c r="A13" s="8" t="s">
        <v>363</v>
      </c>
      <c r="B13" s="8" t="s">
        <v>320</v>
      </c>
      <c r="C13" s="8"/>
      <c r="D13" s="8"/>
      <c r="E13" s="8" t="s">
        <v>351</v>
      </c>
      <c r="F13" s="8">
        <v>100</v>
      </c>
      <c r="G13" s="8" t="s">
        <v>98</v>
      </c>
      <c r="H13" s="8"/>
      <c r="I13" s="8"/>
      <c r="J13" s="8"/>
      <c r="K13" s="8" t="s">
        <v>327</v>
      </c>
      <c r="L13" s="46"/>
      <c r="M13" s="7"/>
      <c r="N13" s="46">
        <v>12</v>
      </c>
    </row>
    <row r="14" spans="1:14">
      <c r="A14" s="8" t="s">
        <v>366</v>
      </c>
      <c r="B14" s="8" t="s">
        <v>320</v>
      </c>
      <c r="C14" s="8"/>
      <c r="D14" s="8"/>
      <c r="E14" s="8" t="s">
        <v>367</v>
      </c>
      <c r="F14" s="8"/>
      <c r="G14" s="8" t="s">
        <v>98</v>
      </c>
      <c r="H14" s="8"/>
      <c r="I14" s="8"/>
      <c r="J14" s="8"/>
      <c r="K14" s="8" t="s">
        <v>368</v>
      </c>
      <c r="L14" s="46"/>
      <c r="M14" s="7"/>
      <c r="N14" s="46">
        <v>13</v>
      </c>
    </row>
    <row r="15" spans="1:14">
      <c r="A15" s="8" t="s">
        <v>371</v>
      </c>
      <c r="B15" s="8" t="s">
        <v>320</v>
      </c>
      <c r="C15" s="8"/>
      <c r="D15" s="8"/>
      <c r="E15" s="8" t="s">
        <v>367</v>
      </c>
      <c r="F15" s="8"/>
      <c r="G15" s="8" t="s">
        <v>98</v>
      </c>
      <c r="H15" s="8"/>
      <c r="I15" s="8"/>
      <c r="J15" s="8"/>
      <c r="K15" s="8" t="s">
        <v>368</v>
      </c>
      <c r="L15" s="46"/>
      <c r="M15" s="7"/>
      <c r="N15" s="46">
        <v>14</v>
      </c>
    </row>
    <row r="16" spans="1:14">
      <c r="A16" s="8" t="s">
        <v>374</v>
      </c>
      <c r="B16" s="8" t="s">
        <v>320</v>
      </c>
      <c r="C16" s="8"/>
      <c r="D16" s="8"/>
      <c r="E16" s="8" t="s">
        <v>351</v>
      </c>
      <c r="F16" s="8">
        <v>100</v>
      </c>
      <c r="G16" s="8" t="s">
        <v>98</v>
      </c>
      <c r="H16" s="8"/>
      <c r="I16" s="8"/>
      <c r="J16" s="8"/>
      <c r="K16" s="8" t="s">
        <v>327</v>
      </c>
      <c r="L16" s="46"/>
      <c r="M16" s="7"/>
      <c r="N16" s="46">
        <v>15</v>
      </c>
    </row>
    <row r="17" spans="1:14">
      <c r="A17" s="7" t="s">
        <v>487</v>
      </c>
      <c r="B17" s="7"/>
      <c r="C17" s="7"/>
      <c r="D17" s="7"/>
      <c r="E17" s="7"/>
      <c r="F17" s="7"/>
      <c r="G17" s="7"/>
      <c r="H17" s="7"/>
      <c r="I17" s="7"/>
      <c r="J17" s="7"/>
      <c r="K17" s="7"/>
      <c r="L17" s="7" t="s">
        <v>3166</v>
      </c>
      <c r="M17" s="7" t="s">
        <v>3583</v>
      </c>
      <c r="N17" s="46">
        <v>16</v>
      </c>
    </row>
    <row r="20" spans="1:14">
      <c r="A20" t="s">
        <v>3584</v>
      </c>
    </row>
    <row r="21" spans="1:14">
      <c r="A21" s="21"/>
    </row>
  </sheetData>
  <pageMargins left="0.7" right="0.7" top="0.75" bottom="0.75" header="0.3" footer="0.3"/>
  <legacy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4">
    <tabColor rgb="FFFF0000"/>
  </sheetPr>
  <dimension ref="A1:N25"/>
  <sheetViews>
    <sheetView workbookViewId="0">
      <selection activeCell="D8" sqref="D8"/>
    </sheetView>
  </sheetViews>
  <sheetFormatPr defaultRowHeight="14.45"/>
  <cols>
    <col min="1" max="1" width="38.140625" customWidth="1"/>
    <col min="2" max="3" width="20.7109375" customWidth="1"/>
    <col min="4" max="4" width="21.28515625"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258</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3585</v>
      </c>
      <c r="B3" s="6" t="s">
        <v>320</v>
      </c>
      <c r="C3" s="6"/>
      <c r="D3" s="6"/>
      <c r="E3" s="6" t="s">
        <v>319</v>
      </c>
      <c r="F3" s="6"/>
      <c r="G3" s="6" t="s">
        <v>98</v>
      </c>
      <c r="H3" s="6" t="s">
        <v>321</v>
      </c>
      <c r="I3" s="6"/>
      <c r="J3" s="6"/>
      <c r="K3" s="6">
        <v>-1</v>
      </c>
      <c r="L3" s="46"/>
      <c r="M3" s="7"/>
      <c r="N3" s="46">
        <v>1</v>
      </c>
    </row>
    <row r="4" spans="1:14">
      <c r="A4" s="27" t="s">
        <v>3391</v>
      </c>
      <c r="B4" s="27" t="s">
        <v>12</v>
      </c>
      <c r="C4" s="27" t="s">
        <v>259</v>
      </c>
      <c r="D4" s="27" t="s">
        <v>2155</v>
      </c>
      <c r="E4" s="27" t="s">
        <v>351</v>
      </c>
      <c r="F4" s="27">
        <v>5</v>
      </c>
      <c r="G4" s="27" t="s">
        <v>98</v>
      </c>
      <c r="H4" s="27" t="s">
        <v>3450</v>
      </c>
      <c r="I4" s="27"/>
      <c r="J4" s="27"/>
      <c r="K4" s="27" t="s">
        <v>327</v>
      </c>
      <c r="L4" s="46" t="s">
        <v>76</v>
      </c>
      <c r="M4" s="7"/>
      <c r="N4" s="46">
        <v>2</v>
      </c>
    </row>
    <row r="5" spans="1:14">
      <c r="A5" s="27" t="s">
        <v>1292</v>
      </c>
      <c r="B5" s="27" t="s">
        <v>12</v>
      </c>
      <c r="C5" s="27" t="s">
        <v>259</v>
      </c>
      <c r="D5" s="27" t="s">
        <v>3103</v>
      </c>
      <c r="E5" s="27" t="s">
        <v>431</v>
      </c>
      <c r="F5" s="27"/>
      <c r="G5" s="27" t="s">
        <v>98</v>
      </c>
      <c r="H5" s="27" t="s">
        <v>3031</v>
      </c>
      <c r="I5" s="27"/>
      <c r="J5" s="27"/>
      <c r="K5" s="27">
        <v>-1</v>
      </c>
      <c r="L5" s="46" t="s">
        <v>76</v>
      </c>
      <c r="M5" s="7"/>
      <c r="N5" s="46">
        <v>3</v>
      </c>
    </row>
    <row r="6" spans="1:14">
      <c r="A6" s="27" t="s">
        <v>927</v>
      </c>
      <c r="B6" s="27" t="s">
        <v>12</v>
      </c>
      <c r="C6" s="27" t="s">
        <v>259</v>
      </c>
      <c r="D6" s="27" t="s">
        <v>940</v>
      </c>
      <c r="E6" s="27" t="s">
        <v>431</v>
      </c>
      <c r="F6" s="27"/>
      <c r="G6" s="27" t="s">
        <v>98</v>
      </c>
      <c r="H6" s="27" t="s">
        <v>3330</v>
      </c>
      <c r="I6" s="27"/>
      <c r="J6" s="27"/>
      <c r="K6" s="27">
        <v>-1</v>
      </c>
      <c r="L6" s="46"/>
      <c r="M6" s="7" t="s">
        <v>3586</v>
      </c>
      <c r="N6" s="46">
        <v>4</v>
      </c>
    </row>
    <row r="7" spans="1:14">
      <c r="A7" s="7" t="s">
        <v>3587</v>
      </c>
      <c r="B7" s="7" t="s">
        <v>12</v>
      </c>
      <c r="C7" s="7" t="s">
        <v>259</v>
      </c>
      <c r="D7" s="7" t="s">
        <v>3588</v>
      </c>
      <c r="E7" s="7" t="s">
        <v>431</v>
      </c>
      <c r="F7" s="7"/>
      <c r="G7" s="7" t="s">
        <v>98</v>
      </c>
      <c r="H7" s="7"/>
      <c r="I7" s="7"/>
      <c r="J7" s="7" t="s">
        <v>942</v>
      </c>
      <c r="K7" s="7">
        <v>-1</v>
      </c>
      <c r="L7" s="46" t="s">
        <v>76</v>
      </c>
      <c r="M7" s="7"/>
      <c r="N7" s="46">
        <v>5</v>
      </c>
    </row>
    <row r="8" spans="1:14">
      <c r="A8" s="7" t="s">
        <v>3589</v>
      </c>
      <c r="B8" s="7" t="s">
        <v>12</v>
      </c>
      <c r="C8" s="7" t="s">
        <v>259</v>
      </c>
      <c r="D8" s="7" t="s">
        <v>3590</v>
      </c>
      <c r="E8" s="7" t="s">
        <v>346</v>
      </c>
      <c r="F8" s="7"/>
      <c r="G8" s="7" t="s">
        <v>98</v>
      </c>
      <c r="H8" s="7"/>
      <c r="I8" s="7"/>
      <c r="J8" s="7"/>
      <c r="K8" s="7">
        <v>-1</v>
      </c>
      <c r="L8" s="46" t="s">
        <v>76</v>
      </c>
      <c r="M8" s="7" t="s">
        <v>3591</v>
      </c>
      <c r="N8" s="46">
        <v>6</v>
      </c>
    </row>
    <row r="9" spans="1:14">
      <c r="A9" s="22" t="s">
        <v>3592</v>
      </c>
      <c r="B9" s="22" t="s">
        <v>12</v>
      </c>
      <c r="C9" s="22" t="s">
        <v>259</v>
      </c>
      <c r="D9" s="22" t="s">
        <v>3593</v>
      </c>
      <c r="E9" s="22" t="s">
        <v>431</v>
      </c>
      <c r="F9" s="22"/>
      <c r="G9" s="22" t="s">
        <v>74</v>
      </c>
      <c r="H9" s="22" t="s">
        <v>3330</v>
      </c>
      <c r="I9" s="22"/>
      <c r="J9" s="22"/>
      <c r="K9" s="22">
        <v>-1</v>
      </c>
      <c r="L9" s="46" t="s">
        <v>76</v>
      </c>
      <c r="M9" s="7" t="s">
        <v>3594</v>
      </c>
      <c r="N9" s="46">
        <v>7</v>
      </c>
    </row>
    <row r="10" spans="1:14">
      <c r="A10" s="22" t="s">
        <v>3595</v>
      </c>
      <c r="B10" s="22" t="s">
        <v>12</v>
      </c>
      <c r="C10" s="22" t="s">
        <v>259</v>
      </c>
      <c r="D10" s="22" t="s">
        <v>3596</v>
      </c>
      <c r="E10" s="22" t="s">
        <v>431</v>
      </c>
      <c r="F10" s="22"/>
      <c r="G10" s="22" t="s">
        <v>74</v>
      </c>
      <c r="H10" s="22" t="s">
        <v>3597</v>
      </c>
      <c r="I10" s="22"/>
      <c r="J10" s="22"/>
      <c r="K10" s="22">
        <v>-1</v>
      </c>
      <c r="L10" s="46" t="s">
        <v>76</v>
      </c>
      <c r="M10" s="7"/>
      <c r="N10" s="46">
        <v>8</v>
      </c>
    </row>
    <row r="11" spans="1:14">
      <c r="A11" s="7" t="s">
        <v>3188</v>
      </c>
      <c r="B11" s="7" t="s">
        <v>12</v>
      </c>
      <c r="C11" s="7" t="s">
        <v>259</v>
      </c>
      <c r="D11" s="7" t="s">
        <v>3189</v>
      </c>
      <c r="E11" s="7" t="s">
        <v>351</v>
      </c>
      <c r="F11" s="7">
        <v>100</v>
      </c>
      <c r="G11" s="7" t="s">
        <v>74</v>
      </c>
      <c r="H11" s="7"/>
      <c r="I11" s="7"/>
      <c r="J11" s="7"/>
      <c r="K11" s="7" t="s">
        <v>327</v>
      </c>
      <c r="L11" s="46"/>
      <c r="M11" s="7" t="s">
        <v>3598</v>
      </c>
      <c r="N11" s="46">
        <v>9</v>
      </c>
    </row>
    <row r="12" spans="1:14">
      <c r="A12" s="22" t="s">
        <v>3599</v>
      </c>
      <c r="B12" s="22" t="s">
        <v>12</v>
      </c>
      <c r="C12" s="22" t="s">
        <v>259</v>
      </c>
      <c r="D12" s="22" t="s">
        <v>3600</v>
      </c>
      <c r="E12" s="22" t="s">
        <v>431</v>
      </c>
      <c r="F12" s="22"/>
      <c r="G12" s="22" t="s">
        <v>74</v>
      </c>
      <c r="H12" s="22" t="s">
        <v>3031</v>
      </c>
      <c r="I12" s="22"/>
      <c r="J12" s="22"/>
      <c r="K12" s="22">
        <v>-1</v>
      </c>
      <c r="L12" s="46" t="s">
        <v>76</v>
      </c>
      <c r="M12" s="7" t="s">
        <v>3601</v>
      </c>
      <c r="N12" s="46">
        <v>10</v>
      </c>
    </row>
    <row r="13" spans="1:14">
      <c r="A13" s="7" t="s">
        <v>1590</v>
      </c>
      <c r="B13" s="7" t="s">
        <v>12</v>
      </c>
      <c r="C13" s="7" t="s">
        <v>259</v>
      </c>
      <c r="D13" s="7" t="s">
        <v>2204</v>
      </c>
      <c r="E13" s="7" t="s">
        <v>367</v>
      </c>
      <c r="F13" s="7"/>
      <c r="G13" s="7" t="s">
        <v>98</v>
      </c>
      <c r="H13" s="7"/>
      <c r="I13" s="7"/>
      <c r="J13" s="7"/>
      <c r="K13" s="7" t="s">
        <v>368</v>
      </c>
      <c r="L13" s="46" t="s">
        <v>76</v>
      </c>
      <c r="M13" s="7"/>
      <c r="N13" s="46">
        <v>11</v>
      </c>
    </row>
    <row r="14" spans="1:14">
      <c r="A14" s="7" t="s">
        <v>3354</v>
      </c>
      <c r="B14" s="7" t="s">
        <v>12</v>
      </c>
      <c r="C14" s="7" t="s">
        <v>259</v>
      </c>
      <c r="D14" s="7" t="s">
        <v>3355</v>
      </c>
      <c r="E14" s="7" t="s">
        <v>351</v>
      </c>
      <c r="F14" s="7">
        <v>30</v>
      </c>
      <c r="G14" s="7" t="s">
        <v>98</v>
      </c>
      <c r="H14" s="7"/>
      <c r="I14" s="7"/>
      <c r="J14" s="7"/>
      <c r="K14" s="7" t="s">
        <v>327</v>
      </c>
      <c r="L14" s="46" t="s">
        <v>76</v>
      </c>
      <c r="M14" s="7"/>
      <c r="N14" s="46">
        <v>12</v>
      </c>
    </row>
    <row r="15" spans="1:14">
      <c r="A15" s="8" t="s">
        <v>350</v>
      </c>
      <c r="B15" s="8" t="s">
        <v>320</v>
      </c>
      <c r="C15" s="8"/>
      <c r="D15" s="8"/>
      <c r="E15" s="8" t="s">
        <v>351</v>
      </c>
      <c r="F15" s="8">
        <v>100</v>
      </c>
      <c r="G15" s="8" t="s">
        <v>98</v>
      </c>
      <c r="H15" s="8"/>
      <c r="I15" s="8"/>
      <c r="J15" s="8"/>
      <c r="K15" s="8" t="s">
        <v>327</v>
      </c>
      <c r="L15" s="46"/>
      <c r="M15" s="7"/>
      <c r="N15" s="46">
        <v>13</v>
      </c>
    </row>
    <row r="16" spans="1:14">
      <c r="A16" s="8" t="s">
        <v>354</v>
      </c>
      <c r="B16" s="8" t="s">
        <v>320</v>
      </c>
      <c r="C16" s="8"/>
      <c r="D16" s="8"/>
      <c r="E16" s="8" t="s">
        <v>351</v>
      </c>
      <c r="F16" s="8">
        <v>100</v>
      </c>
      <c r="G16" s="8" t="s">
        <v>98</v>
      </c>
      <c r="H16" s="8"/>
      <c r="I16" s="8"/>
      <c r="J16" s="8"/>
      <c r="K16" s="8" t="s">
        <v>327</v>
      </c>
      <c r="L16" s="46"/>
      <c r="M16" s="7"/>
      <c r="N16" s="46">
        <v>14</v>
      </c>
    </row>
    <row r="17" spans="1:14">
      <c r="A17" s="8" t="s">
        <v>357</v>
      </c>
      <c r="B17" s="8" t="s">
        <v>320</v>
      </c>
      <c r="C17" s="8"/>
      <c r="D17" s="8"/>
      <c r="E17" s="8" t="s">
        <v>351</v>
      </c>
      <c r="F17" s="8">
        <v>100</v>
      </c>
      <c r="G17" s="8" t="s">
        <v>98</v>
      </c>
      <c r="H17" s="8"/>
      <c r="I17" s="8"/>
      <c r="J17" s="8"/>
      <c r="K17" s="8" t="s">
        <v>327</v>
      </c>
      <c r="L17" s="46"/>
      <c r="M17" s="7"/>
      <c r="N17" s="46">
        <v>15</v>
      </c>
    </row>
    <row r="18" spans="1:14">
      <c r="A18" s="8" t="s">
        <v>360</v>
      </c>
      <c r="B18" s="8" t="s">
        <v>320</v>
      </c>
      <c r="C18" s="8"/>
      <c r="D18" s="8"/>
      <c r="E18" s="8" t="s">
        <v>351</v>
      </c>
      <c r="F18" s="8">
        <v>100</v>
      </c>
      <c r="G18" s="8" t="s">
        <v>98</v>
      </c>
      <c r="H18" s="8"/>
      <c r="I18" s="8"/>
      <c r="J18" s="8"/>
      <c r="K18" s="8" t="s">
        <v>327</v>
      </c>
      <c r="L18" s="46"/>
      <c r="M18" s="7"/>
      <c r="N18" s="46">
        <v>16</v>
      </c>
    </row>
    <row r="19" spans="1:14">
      <c r="A19" s="8" t="s">
        <v>363</v>
      </c>
      <c r="B19" s="8" t="s">
        <v>320</v>
      </c>
      <c r="C19" s="8"/>
      <c r="D19" s="8"/>
      <c r="E19" s="8" t="s">
        <v>351</v>
      </c>
      <c r="F19" s="8">
        <v>100</v>
      </c>
      <c r="G19" s="8" t="s">
        <v>98</v>
      </c>
      <c r="H19" s="8"/>
      <c r="I19" s="8"/>
      <c r="J19" s="8"/>
      <c r="K19" s="8" t="s">
        <v>327</v>
      </c>
      <c r="L19" s="46"/>
      <c r="M19" s="7"/>
      <c r="N19" s="46">
        <v>17</v>
      </c>
    </row>
    <row r="20" spans="1:14">
      <c r="A20" s="8" t="s">
        <v>366</v>
      </c>
      <c r="B20" s="8" t="s">
        <v>320</v>
      </c>
      <c r="C20" s="8"/>
      <c r="D20" s="8"/>
      <c r="E20" s="8" t="s">
        <v>367</v>
      </c>
      <c r="F20" s="8"/>
      <c r="G20" s="8" t="s">
        <v>98</v>
      </c>
      <c r="H20" s="8"/>
      <c r="I20" s="8"/>
      <c r="J20" s="8"/>
      <c r="K20" s="8" t="s">
        <v>368</v>
      </c>
      <c r="L20" s="46"/>
      <c r="M20" s="7"/>
      <c r="N20" s="46">
        <v>18</v>
      </c>
    </row>
    <row r="21" spans="1:14">
      <c r="A21" s="8" t="s">
        <v>371</v>
      </c>
      <c r="B21" s="8" t="s">
        <v>320</v>
      </c>
      <c r="C21" s="8"/>
      <c r="D21" s="8"/>
      <c r="E21" s="8" t="s">
        <v>367</v>
      </c>
      <c r="F21" s="8"/>
      <c r="G21" s="8" t="s">
        <v>98</v>
      </c>
      <c r="H21" s="8"/>
      <c r="I21" s="8"/>
      <c r="J21" s="8"/>
      <c r="K21" s="8" t="s">
        <v>368</v>
      </c>
      <c r="L21" s="46"/>
      <c r="M21" s="7"/>
      <c r="N21" s="46">
        <v>19</v>
      </c>
    </row>
    <row r="22" spans="1:14">
      <c r="A22" s="8" t="s">
        <v>374</v>
      </c>
      <c r="B22" s="8" t="s">
        <v>320</v>
      </c>
      <c r="C22" s="8"/>
      <c r="D22" s="8"/>
      <c r="E22" s="8" t="s">
        <v>351</v>
      </c>
      <c r="F22" s="8">
        <v>100</v>
      </c>
      <c r="G22" s="8" t="s">
        <v>98</v>
      </c>
      <c r="H22" s="8"/>
      <c r="I22" s="8"/>
      <c r="J22" s="8"/>
      <c r="K22" s="8" t="s">
        <v>327</v>
      </c>
      <c r="L22" s="46"/>
      <c r="M22" s="7"/>
      <c r="N22" s="46">
        <v>20</v>
      </c>
    </row>
    <row r="25" spans="1:14">
      <c r="C25" t="s">
        <v>3602</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tabColor rgb="FFFF0000"/>
  </sheetPr>
  <dimension ref="A1:N34"/>
  <sheetViews>
    <sheetView workbookViewId="0">
      <pane xSplit="1" ySplit="2" topLeftCell="C3" activePane="bottomRight" state="frozen"/>
      <selection pane="bottomRight" activeCell="A39" sqref="A39"/>
      <selection pane="bottomLeft" activeCell="A3" sqref="A3"/>
      <selection pane="topRight" activeCell="B1" sqref="B1"/>
    </sheetView>
  </sheetViews>
  <sheetFormatPr defaultRowHeight="14.45"/>
  <cols>
    <col min="1" max="1" width="31.85546875" customWidth="1"/>
    <col min="2" max="2" width="20.7109375" customWidth="1"/>
    <col min="3" max="3" width="32.42578125" customWidth="1"/>
    <col min="4" max="4" width="25.140625" customWidth="1"/>
    <col min="5" max="7" width="15.7109375" customWidth="1"/>
    <col min="8" max="8" width="55.28515625" customWidth="1"/>
    <col min="9" max="11" width="20.7109375" customWidth="1"/>
    <col min="12" max="12" width="15.7109375" bestFit="1" customWidth="1"/>
    <col min="13" max="13" width="39.28515625" customWidth="1"/>
    <col min="14" max="14" width="17.28515625" bestFit="1" customWidth="1"/>
  </cols>
  <sheetData>
    <row r="1" spans="1:14" ht="60" customHeight="1">
      <c r="A1" s="1" t="s">
        <v>265</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3603</v>
      </c>
      <c r="B3" s="6" t="s">
        <v>320</v>
      </c>
      <c r="C3" s="6"/>
      <c r="D3" s="6"/>
      <c r="E3" s="6" t="s">
        <v>319</v>
      </c>
      <c r="F3" s="6">
        <v>0</v>
      </c>
      <c r="G3" s="6" t="s">
        <v>98</v>
      </c>
      <c r="H3" s="6" t="s">
        <v>3604</v>
      </c>
      <c r="I3" s="6"/>
      <c r="J3" s="6"/>
      <c r="K3" s="6">
        <v>-1</v>
      </c>
      <c r="L3" s="46" t="s">
        <v>76</v>
      </c>
      <c r="M3" s="7"/>
      <c r="N3" s="46">
        <v>1</v>
      </c>
    </row>
    <row r="4" spans="1:14">
      <c r="A4" s="27" t="s">
        <v>1292</v>
      </c>
      <c r="B4" s="27" t="s">
        <v>12</v>
      </c>
      <c r="C4" s="27" t="s">
        <v>266</v>
      </c>
      <c r="D4" s="27" t="s">
        <v>3103</v>
      </c>
      <c r="E4" s="27" t="s">
        <v>431</v>
      </c>
      <c r="F4" s="27">
        <v>0</v>
      </c>
      <c r="G4" s="27" t="s">
        <v>98</v>
      </c>
      <c r="H4" s="27" t="s">
        <v>3031</v>
      </c>
      <c r="I4" s="27"/>
      <c r="J4" s="27"/>
      <c r="K4" s="27">
        <v>-1</v>
      </c>
      <c r="L4" s="46" t="s">
        <v>76</v>
      </c>
      <c r="M4" s="7"/>
      <c r="N4" s="46">
        <v>2</v>
      </c>
    </row>
    <row r="5" spans="1:14" ht="43.5">
      <c r="A5" s="27" t="s">
        <v>3391</v>
      </c>
      <c r="B5" s="27" t="s">
        <v>12</v>
      </c>
      <c r="C5" s="27" t="s">
        <v>266</v>
      </c>
      <c r="D5" s="27" t="s">
        <v>2155</v>
      </c>
      <c r="E5" s="27" t="s">
        <v>351</v>
      </c>
      <c r="F5" s="27">
        <v>5</v>
      </c>
      <c r="G5" s="27" t="s">
        <v>74</v>
      </c>
      <c r="H5" s="28" t="s">
        <v>3400</v>
      </c>
      <c r="I5" s="27"/>
      <c r="J5" s="27"/>
      <c r="K5" s="27" t="s">
        <v>327</v>
      </c>
      <c r="L5" s="46" t="s">
        <v>76</v>
      </c>
      <c r="M5" s="7"/>
      <c r="N5" s="46">
        <v>3</v>
      </c>
    </row>
    <row r="6" spans="1:14">
      <c r="A6" s="7" t="s">
        <v>3605</v>
      </c>
      <c r="B6" s="7" t="s">
        <v>12</v>
      </c>
      <c r="C6" s="7" t="s">
        <v>266</v>
      </c>
      <c r="D6" s="7" t="s">
        <v>3606</v>
      </c>
      <c r="E6" s="7" t="s">
        <v>431</v>
      </c>
      <c r="F6" s="7">
        <v>0</v>
      </c>
      <c r="G6" s="7" t="s">
        <v>98</v>
      </c>
      <c r="H6" s="7"/>
      <c r="I6" s="7"/>
      <c r="J6" s="7" t="s">
        <v>942</v>
      </c>
      <c r="K6" s="7">
        <v>-1</v>
      </c>
      <c r="L6" s="46" t="s">
        <v>76</v>
      </c>
      <c r="M6" s="7"/>
      <c r="N6" s="46">
        <v>4</v>
      </c>
    </row>
    <row r="7" spans="1:14">
      <c r="A7" s="7" t="s">
        <v>3192</v>
      </c>
      <c r="B7" s="7" t="s">
        <v>12</v>
      </c>
      <c r="C7" s="7" t="s">
        <v>266</v>
      </c>
      <c r="D7" s="7" t="s">
        <v>3193</v>
      </c>
      <c r="E7" s="7" t="s">
        <v>351</v>
      </c>
      <c r="F7" s="7">
        <v>100</v>
      </c>
      <c r="G7" s="7" t="s">
        <v>74</v>
      </c>
      <c r="H7" s="7" t="s">
        <v>3194</v>
      </c>
      <c r="I7" s="7"/>
      <c r="J7" s="7"/>
      <c r="K7" s="7" t="s">
        <v>327</v>
      </c>
      <c r="L7" s="46"/>
      <c r="M7" s="7" t="s">
        <v>3195</v>
      </c>
      <c r="N7" s="46">
        <v>5</v>
      </c>
    </row>
    <row r="8" spans="1:14">
      <c r="A8" s="7" t="s">
        <v>3198</v>
      </c>
      <c r="B8" s="7" t="s">
        <v>12</v>
      </c>
      <c r="C8" s="7" t="s">
        <v>266</v>
      </c>
      <c r="D8" s="7" t="s">
        <v>3199</v>
      </c>
      <c r="E8" s="7" t="s">
        <v>351</v>
      </c>
      <c r="F8" s="7">
        <v>20</v>
      </c>
      <c r="G8" s="7" t="s">
        <v>74</v>
      </c>
      <c r="H8" s="7" t="s">
        <v>3200</v>
      </c>
      <c r="I8" s="7"/>
      <c r="J8" s="7"/>
      <c r="K8" s="7" t="s">
        <v>327</v>
      </c>
      <c r="L8" s="46"/>
      <c r="M8" s="7"/>
      <c r="N8" s="46">
        <v>6</v>
      </c>
    </row>
    <row r="9" spans="1:14">
      <c r="A9" s="7" t="s">
        <v>3204</v>
      </c>
      <c r="B9" s="7" t="s">
        <v>12</v>
      </c>
      <c r="C9" s="7" t="s">
        <v>266</v>
      </c>
      <c r="D9" s="7" t="s">
        <v>3205</v>
      </c>
      <c r="E9" s="7" t="s">
        <v>351</v>
      </c>
      <c r="F9" s="7">
        <v>100</v>
      </c>
      <c r="G9" s="7" t="s">
        <v>74</v>
      </c>
      <c r="H9" s="7" t="s">
        <v>3206</v>
      </c>
      <c r="I9" s="7"/>
      <c r="J9" s="7"/>
      <c r="K9" s="7" t="s">
        <v>327</v>
      </c>
      <c r="L9" s="46"/>
      <c r="M9" s="7"/>
      <c r="N9" s="46">
        <v>7</v>
      </c>
    </row>
    <row r="10" spans="1:14">
      <c r="A10" s="7" t="s">
        <v>3209</v>
      </c>
      <c r="B10" s="7" t="s">
        <v>12</v>
      </c>
      <c r="C10" s="7" t="s">
        <v>266</v>
      </c>
      <c r="D10" s="7" t="s">
        <v>3210</v>
      </c>
      <c r="E10" s="7" t="s">
        <v>351</v>
      </c>
      <c r="F10" s="7">
        <v>100</v>
      </c>
      <c r="G10" s="7" t="s">
        <v>74</v>
      </c>
      <c r="H10" s="7" t="s">
        <v>3211</v>
      </c>
      <c r="I10" s="7"/>
      <c r="J10" s="7"/>
      <c r="K10" s="7" t="s">
        <v>327</v>
      </c>
      <c r="L10" s="46"/>
      <c r="M10" s="7" t="s">
        <v>3212</v>
      </c>
      <c r="N10" s="46">
        <v>8</v>
      </c>
    </row>
    <row r="11" spans="1:14">
      <c r="A11" s="7" t="s">
        <v>3607</v>
      </c>
      <c r="B11" s="7" t="s">
        <v>12</v>
      </c>
      <c r="C11" s="7" t="s">
        <v>266</v>
      </c>
      <c r="D11" s="7" t="s">
        <v>3608</v>
      </c>
      <c r="E11" s="7" t="s">
        <v>351</v>
      </c>
      <c r="F11" s="7">
        <v>100</v>
      </c>
      <c r="G11" s="7" t="s">
        <v>74</v>
      </c>
      <c r="H11" s="7"/>
      <c r="I11" s="7"/>
      <c r="J11" s="7"/>
      <c r="K11" s="7" t="s">
        <v>327</v>
      </c>
      <c r="L11" s="46" t="s">
        <v>76</v>
      </c>
      <c r="M11" s="7"/>
      <c r="N11" s="46">
        <v>9</v>
      </c>
    </row>
    <row r="12" spans="1:14">
      <c r="A12" s="7" t="s">
        <v>3609</v>
      </c>
      <c r="B12" s="7" t="s">
        <v>12</v>
      </c>
      <c r="C12" s="7" t="s">
        <v>266</v>
      </c>
      <c r="D12" s="7" t="s">
        <v>3610</v>
      </c>
      <c r="E12" s="7" t="s">
        <v>351</v>
      </c>
      <c r="F12" s="7">
        <v>100</v>
      </c>
      <c r="G12" s="7" t="s">
        <v>74</v>
      </c>
      <c r="H12" s="7"/>
      <c r="I12" s="7"/>
      <c r="J12" s="7"/>
      <c r="K12" s="7" t="s">
        <v>327</v>
      </c>
      <c r="L12" s="46" t="s">
        <v>76</v>
      </c>
      <c r="M12" s="7"/>
      <c r="N12" s="46">
        <v>10</v>
      </c>
    </row>
    <row r="13" spans="1:14">
      <c r="A13" s="7" t="s">
        <v>3611</v>
      </c>
      <c r="B13" s="7" t="s">
        <v>12</v>
      </c>
      <c r="C13" s="7" t="s">
        <v>266</v>
      </c>
      <c r="D13" s="7" t="s">
        <v>3612</v>
      </c>
      <c r="E13" s="7" t="s">
        <v>351</v>
      </c>
      <c r="F13" s="7">
        <v>100</v>
      </c>
      <c r="G13" s="7" t="s">
        <v>74</v>
      </c>
      <c r="H13" s="7"/>
      <c r="I13" s="7"/>
      <c r="J13" s="7"/>
      <c r="K13" s="7" t="s">
        <v>327</v>
      </c>
      <c r="L13" s="46" t="s">
        <v>76</v>
      </c>
      <c r="M13" s="7"/>
      <c r="N13" s="46">
        <v>11</v>
      </c>
    </row>
    <row r="14" spans="1:14">
      <c r="A14" s="7" t="s">
        <v>3613</v>
      </c>
      <c r="B14" s="7" t="s">
        <v>12</v>
      </c>
      <c r="C14" s="7" t="s">
        <v>266</v>
      </c>
      <c r="D14" s="7" t="s">
        <v>3614</v>
      </c>
      <c r="E14" s="7" t="s">
        <v>351</v>
      </c>
      <c r="F14" s="7">
        <v>100</v>
      </c>
      <c r="G14" s="7" t="s">
        <v>74</v>
      </c>
      <c r="H14" s="7"/>
      <c r="I14" s="7"/>
      <c r="J14" s="7"/>
      <c r="K14" s="7" t="s">
        <v>327</v>
      </c>
      <c r="L14" s="46" t="s">
        <v>76</v>
      </c>
      <c r="M14" s="7"/>
      <c r="N14" s="46">
        <v>12</v>
      </c>
    </row>
    <row r="15" spans="1:14">
      <c r="A15" s="7" t="s">
        <v>3615</v>
      </c>
      <c r="B15" s="7" t="s">
        <v>12</v>
      </c>
      <c r="C15" s="7" t="s">
        <v>266</v>
      </c>
      <c r="D15" s="7" t="s">
        <v>3616</v>
      </c>
      <c r="E15" s="7" t="s">
        <v>351</v>
      </c>
      <c r="F15" s="7">
        <v>100</v>
      </c>
      <c r="G15" s="7"/>
      <c r="H15" s="7"/>
      <c r="I15" s="7"/>
      <c r="J15" s="7"/>
      <c r="K15" s="7" t="s">
        <v>327</v>
      </c>
      <c r="L15" s="46" t="s">
        <v>76</v>
      </c>
      <c r="M15" s="7"/>
      <c r="N15" s="46">
        <v>13</v>
      </c>
    </row>
    <row r="16" spans="1:14">
      <c r="A16" s="7" t="s">
        <v>3617</v>
      </c>
      <c r="B16" s="7" t="s">
        <v>12</v>
      </c>
      <c r="C16" s="7" t="s">
        <v>266</v>
      </c>
      <c r="D16" s="7" t="s">
        <v>3618</v>
      </c>
      <c r="E16" s="7" t="s">
        <v>351</v>
      </c>
      <c r="F16" s="7">
        <v>50</v>
      </c>
      <c r="G16" s="7" t="s">
        <v>74</v>
      </c>
      <c r="H16" s="7"/>
      <c r="I16" s="7"/>
      <c r="J16" s="7"/>
      <c r="K16" s="7" t="s">
        <v>327</v>
      </c>
      <c r="L16" s="46" t="s">
        <v>76</v>
      </c>
      <c r="M16" s="7"/>
      <c r="N16" s="46">
        <v>14</v>
      </c>
    </row>
    <row r="17" spans="1:14">
      <c r="A17" s="7" t="s">
        <v>3619</v>
      </c>
      <c r="B17" s="7" t="s">
        <v>12</v>
      </c>
      <c r="C17" s="7" t="s">
        <v>266</v>
      </c>
      <c r="D17" s="7" t="s">
        <v>3620</v>
      </c>
      <c r="E17" s="7" t="s">
        <v>351</v>
      </c>
      <c r="F17" s="7">
        <v>50</v>
      </c>
      <c r="G17" s="7" t="s">
        <v>74</v>
      </c>
      <c r="H17" s="7"/>
      <c r="I17" s="7"/>
      <c r="J17" s="7"/>
      <c r="K17" s="7" t="s">
        <v>327</v>
      </c>
      <c r="L17" s="46" t="s">
        <v>76</v>
      </c>
      <c r="M17" s="7"/>
      <c r="N17" s="46">
        <v>15</v>
      </c>
    </row>
    <row r="18" spans="1:14">
      <c r="A18" s="7" t="s">
        <v>3215</v>
      </c>
      <c r="B18" s="7" t="s">
        <v>12</v>
      </c>
      <c r="C18" s="7" t="s">
        <v>266</v>
      </c>
      <c r="D18" s="7" t="s">
        <v>3216</v>
      </c>
      <c r="E18" s="7" t="s">
        <v>351</v>
      </c>
      <c r="F18" s="7">
        <v>100</v>
      </c>
      <c r="G18" s="7" t="s">
        <v>74</v>
      </c>
      <c r="H18" s="7" t="s">
        <v>3217</v>
      </c>
      <c r="I18" s="7"/>
      <c r="J18" s="7"/>
      <c r="K18" s="7" t="s">
        <v>327</v>
      </c>
      <c r="L18" s="46"/>
      <c r="M18" s="7" t="s">
        <v>3218</v>
      </c>
      <c r="N18" s="46">
        <v>16</v>
      </c>
    </row>
    <row r="19" spans="1:14">
      <c r="A19" s="7" t="s">
        <v>3621</v>
      </c>
      <c r="B19" s="7" t="s">
        <v>12</v>
      </c>
      <c r="C19" s="7" t="s">
        <v>266</v>
      </c>
      <c r="D19" s="7" t="s">
        <v>3622</v>
      </c>
      <c r="E19" s="7" t="s">
        <v>351</v>
      </c>
      <c r="F19" s="7">
        <v>100</v>
      </c>
      <c r="G19" s="7" t="s">
        <v>74</v>
      </c>
      <c r="H19" s="7"/>
      <c r="I19" s="7"/>
      <c r="J19" s="7"/>
      <c r="K19" s="7" t="s">
        <v>327</v>
      </c>
      <c r="L19" s="46" t="s">
        <v>76</v>
      </c>
      <c r="M19" s="7"/>
      <c r="N19" s="46">
        <v>17</v>
      </c>
    </row>
    <row r="20" spans="1:14">
      <c r="A20" s="7" t="s">
        <v>1590</v>
      </c>
      <c r="B20" s="7" t="s">
        <v>12</v>
      </c>
      <c r="C20" s="7" t="s">
        <v>266</v>
      </c>
      <c r="D20" s="7" t="s">
        <v>2204</v>
      </c>
      <c r="E20" s="7" t="s">
        <v>367</v>
      </c>
      <c r="F20" s="7">
        <v>0</v>
      </c>
      <c r="G20" s="7" t="s">
        <v>98</v>
      </c>
      <c r="H20" s="7"/>
      <c r="I20" s="7"/>
      <c r="J20" s="7"/>
      <c r="K20" s="7" t="s">
        <v>368</v>
      </c>
      <c r="L20" s="46" t="s">
        <v>76</v>
      </c>
      <c r="M20" s="7"/>
      <c r="N20" s="46">
        <v>18</v>
      </c>
    </row>
    <row r="21" spans="1:14">
      <c r="A21" s="7" t="s">
        <v>3354</v>
      </c>
      <c r="B21" s="7" t="s">
        <v>12</v>
      </c>
      <c r="C21" s="7" t="s">
        <v>266</v>
      </c>
      <c r="D21" s="7" t="s">
        <v>3355</v>
      </c>
      <c r="E21" s="7" t="s">
        <v>351</v>
      </c>
      <c r="F21" s="7">
        <v>30</v>
      </c>
      <c r="G21" s="7" t="s">
        <v>98</v>
      </c>
      <c r="H21" s="7"/>
      <c r="I21" s="7"/>
      <c r="J21" s="7"/>
      <c r="K21" s="7" t="s">
        <v>327</v>
      </c>
      <c r="L21" s="46" t="s">
        <v>76</v>
      </c>
      <c r="M21" s="7"/>
      <c r="N21" s="46">
        <v>19</v>
      </c>
    </row>
    <row r="22" spans="1:14">
      <c r="A22" s="7" t="s">
        <v>3623</v>
      </c>
      <c r="B22" s="7" t="s">
        <v>12</v>
      </c>
      <c r="C22" s="7" t="s">
        <v>266</v>
      </c>
      <c r="D22" s="7" t="s">
        <v>3624</v>
      </c>
      <c r="E22" s="7" t="s">
        <v>351</v>
      </c>
      <c r="F22" s="7">
        <v>20</v>
      </c>
      <c r="G22" s="7" t="s">
        <v>74</v>
      </c>
      <c r="H22" s="7" t="s">
        <v>3625</v>
      </c>
      <c r="I22" s="7"/>
      <c r="J22" s="7"/>
      <c r="K22" s="7" t="s">
        <v>327</v>
      </c>
      <c r="L22" s="46"/>
      <c r="M22" s="7" t="s">
        <v>3626</v>
      </c>
      <c r="N22" s="46">
        <v>20</v>
      </c>
    </row>
    <row r="23" spans="1:14">
      <c r="A23" s="7" t="s">
        <v>3627</v>
      </c>
      <c r="B23" s="7" t="s">
        <v>12</v>
      </c>
      <c r="C23" s="7" t="s">
        <v>266</v>
      </c>
      <c r="D23" s="7" t="s">
        <v>3199</v>
      </c>
      <c r="E23" s="7" t="s">
        <v>351</v>
      </c>
      <c r="F23" s="7">
        <v>20</v>
      </c>
      <c r="G23" s="7" t="s">
        <v>74</v>
      </c>
      <c r="H23" s="7"/>
      <c r="I23" s="7"/>
      <c r="J23" s="7"/>
      <c r="K23" s="7" t="s">
        <v>327</v>
      </c>
      <c r="L23" s="46"/>
      <c r="M23" s="7"/>
      <c r="N23" s="46">
        <v>21</v>
      </c>
    </row>
    <row r="24" spans="1:14">
      <c r="A24" s="8" t="s">
        <v>350</v>
      </c>
      <c r="B24" s="8" t="s">
        <v>320</v>
      </c>
      <c r="C24" s="8"/>
      <c r="D24" s="8"/>
      <c r="E24" s="8" t="s">
        <v>351</v>
      </c>
      <c r="F24" s="8">
        <v>100</v>
      </c>
      <c r="G24" s="8" t="s">
        <v>98</v>
      </c>
      <c r="H24" s="8"/>
      <c r="I24" s="8"/>
      <c r="J24" s="8"/>
      <c r="K24" s="8" t="s">
        <v>327</v>
      </c>
      <c r="L24" s="46" t="s">
        <v>76</v>
      </c>
      <c r="M24" s="7"/>
      <c r="N24" s="46">
        <v>22</v>
      </c>
    </row>
    <row r="25" spans="1:14">
      <c r="A25" s="8" t="s">
        <v>354</v>
      </c>
      <c r="B25" s="8" t="s">
        <v>320</v>
      </c>
      <c r="C25" s="8"/>
      <c r="D25" s="8"/>
      <c r="E25" s="8" t="s">
        <v>351</v>
      </c>
      <c r="F25" s="8">
        <v>100</v>
      </c>
      <c r="G25" s="8" t="s">
        <v>98</v>
      </c>
      <c r="H25" s="8"/>
      <c r="I25" s="8"/>
      <c r="J25" s="8"/>
      <c r="K25" s="8" t="s">
        <v>327</v>
      </c>
      <c r="L25" s="46" t="s">
        <v>76</v>
      </c>
      <c r="M25" s="7"/>
      <c r="N25" s="46">
        <v>23</v>
      </c>
    </row>
    <row r="26" spans="1:14">
      <c r="A26" s="8" t="s">
        <v>357</v>
      </c>
      <c r="B26" s="8" t="s">
        <v>320</v>
      </c>
      <c r="C26" s="8"/>
      <c r="D26" s="8"/>
      <c r="E26" s="8" t="s">
        <v>351</v>
      </c>
      <c r="F26" s="8">
        <v>100</v>
      </c>
      <c r="G26" s="8" t="s">
        <v>98</v>
      </c>
      <c r="H26" s="8"/>
      <c r="I26" s="8"/>
      <c r="J26" s="8"/>
      <c r="K26" s="8" t="s">
        <v>327</v>
      </c>
      <c r="L26" s="46" t="s">
        <v>76</v>
      </c>
      <c r="M26" s="7"/>
      <c r="N26" s="46">
        <v>24</v>
      </c>
    </row>
    <row r="27" spans="1:14">
      <c r="A27" s="8" t="s">
        <v>360</v>
      </c>
      <c r="B27" s="8" t="s">
        <v>320</v>
      </c>
      <c r="C27" s="8"/>
      <c r="D27" s="8"/>
      <c r="E27" s="8" t="s">
        <v>351</v>
      </c>
      <c r="F27" s="8">
        <v>100</v>
      </c>
      <c r="G27" s="8" t="s">
        <v>98</v>
      </c>
      <c r="H27" s="8"/>
      <c r="I27" s="8"/>
      <c r="J27" s="8"/>
      <c r="K27" s="8" t="s">
        <v>327</v>
      </c>
      <c r="L27" s="46" t="s">
        <v>76</v>
      </c>
      <c r="M27" s="7"/>
      <c r="N27" s="46">
        <v>25</v>
      </c>
    </row>
    <row r="28" spans="1:14">
      <c r="A28" s="8" t="s">
        <v>363</v>
      </c>
      <c r="B28" s="8" t="s">
        <v>320</v>
      </c>
      <c r="C28" s="8"/>
      <c r="D28" s="8"/>
      <c r="E28" s="8" t="s">
        <v>351</v>
      </c>
      <c r="F28" s="8">
        <v>100</v>
      </c>
      <c r="G28" s="8" t="s">
        <v>98</v>
      </c>
      <c r="H28" s="8"/>
      <c r="I28" s="8"/>
      <c r="J28" s="8"/>
      <c r="K28" s="8" t="s">
        <v>327</v>
      </c>
      <c r="L28" s="46" t="s">
        <v>76</v>
      </c>
      <c r="M28" s="7"/>
      <c r="N28" s="46">
        <v>26</v>
      </c>
    </row>
    <row r="29" spans="1:14">
      <c r="A29" s="8" t="s">
        <v>366</v>
      </c>
      <c r="B29" s="8" t="s">
        <v>320</v>
      </c>
      <c r="C29" s="8"/>
      <c r="D29" s="8"/>
      <c r="E29" s="8" t="s">
        <v>367</v>
      </c>
      <c r="F29" s="8"/>
      <c r="G29" s="8" t="s">
        <v>98</v>
      </c>
      <c r="H29" s="8"/>
      <c r="I29" s="8"/>
      <c r="J29" s="8"/>
      <c r="K29" s="8" t="s">
        <v>368</v>
      </c>
      <c r="L29" s="46" t="s">
        <v>76</v>
      </c>
      <c r="M29" s="7"/>
      <c r="N29" s="46">
        <v>27</v>
      </c>
    </row>
    <row r="30" spans="1:14">
      <c r="A30" s="8" t="s">
        <v>371</v>
      </c>
      <c r="B30" s="8" t="s">
        <v>320</v>
      </c>
      <c r="C30" s="8"/>
      <c r="D30" s="8"/>
      <c r="E30" s="8" t="s">
        <v>367</v>
      </c>
      <c r="F30" s="8"/>
      <c r="G30" s="8" t="s">
        <v>98</v>
      </c>
      <c r="H30" s="8"/>
      <c r="I30" s="8"/>
      <c r="J30" s="8"/>
      <c r="K30" s="8" t="s">
        <v>368</v>
      </c>
      <c r="L30" s="46" t="s">
        <v>76</v>
      </c>
      <c r="M30" s="7"/>
      <c r="N30" s="46">
        <v>28</v>
      </c>
    </row>
    <row r="31" spans="1:14">
      <c r="A31" s="8" t="s">
        <v>374</v>
      </c>
      <c r="B31" s="8" t="s">
        <v>320</v>
      </c>
      <c r="C31" s="8"/>
      <c r="D31" s="8"/>
      <c r="E31" s="8" t="s">
        <v>351</v>
      </c>
      <c r="F31" s="8">
        <v>100</v>
      </c>
      <c r="G31" s="8" t="s">
        <v>98</v>
      </c>
      <c r="H31" s="8"/>
      <c r="I31" s="8"/>
      <c r="J31" s="8"/>
      <c r="K31" s="8" t="s">
        <v>327</v>
      </c>
      <c r="L31" s="46" t="s">
        <v>76</v>
      </c>
      <c r="M31" s="7"/>
      <c r="N31" s="46">
        <v>29</v>
      </c>
    </row>
    <row r="34" spans="1:1">
      <c r="A34" s="40" t="s">
        <v>3628</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7">
    <tabColor rgb="FFFF0000"/>
  </sheetPr>
  <dimension ref="A1:N25"/>
  <sheetViews>
    <sheetView workbookViewId="0">
      <selection activeCell="A26" sqref="A26"/>
    </sheetView>
  </sheetViews>
  <sheetFormatPr defaultRowHeight="14.45"/>
  <cols>
    <col min="1" max="1" width="32.7109375" customWidth="1"/>
    <col min="2" max="4" width="20.7109375"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268</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3595</v>
      </c>
      <c r="B3" s="6" t="s">
        <v>320</v>
      </c>
      <c r="C3" s="6"/>
      <c r="D3" s="6"/>
      <c r="E3" s="6" t="s">
        <v>319</v>
      </c>
      <c r="F3" s="6"/>
      <c r="G3" s="6" t="s">
        <v>98</v>
      </c>
      <c r="H3" s="6" t="s">
        <v>3629</v>
      </c>
      <c r="I3" s="6"/>
      <c r="J3" s="6"/>
      <c r="K3" s="6">
        <v>-1</v>
      </c>
      <c r="L3" s="46" t="s">
        <v>76</v>
      </c>
      <c r="M3" s="7"/>
      <c r="N3" s="46">
        <v>1</v>
      </c>
    </row>
    <row r="4" spans="1:14">
      <c r="A4" s="27" t="s">
        <v>1292</v>
      </c>
      <c r="B4" s="27" t="s">
        <v>12</v>
      </c>
      <c r="C4" s="27" t="s">
        <v>269</v>
      </c>
      <c r="D4" s="27" t="s">
        <v>3422</v>
      </c>
      <c r="E4" s="27" t="s">
        <v>431</v>
      </c>
      <c r="F4" s="27"/>
      <c r="G4" s="27" t="s">
        <v>98</v>
      </c>
      <c r="H4" s="27" t="s">
        <v>3031</v>
      </c>
      <c r="I4" s="27"/>
      <c r="J4" s="27"/>
      <c r="K4" s="27">
        <v>-1</v>
      </c>
      <c r="L4" s="46" t="s">
        <v>76</v>
      </c>
      <c r="M4" s="7"/>
      <c r="N4" s="46">
        <v>2</v>
      </c>
    </row>
    <row r="5" spans="1:14">
      <c r="A5" s="9" t="s">
        <v>3630</v>
      </c>
      <c r="B5" s="9" t="s">
        <v>12</v>
      </c>
      <c r="C5" s="9" t="s">
        <v>269</v>
      </c>
      <c r="D5" s="9" t="s">
        <v>3631</v>
      </c>
      <c r="E5" s="9" t="s">
        <v>351</v>
      </c>
      <c r="F5" s="9">
        <v>10</v>
      </c>
      <c r="G5" s="9" t="s">
        <v>74</v>
      </c>
      <c r="H5" s="9"/>
      <c r="I5" s="9"/>
      <c r="J5" s="9"/>
      <c r="K5" s="9" t="s">
        <v>327</v>
      </c>
      <c r="L5" s="46"/>
      <c r="M5" s="7"/>
      <c r="N5" s="46">
        <v>3</v>
      </c>
    </row>
    <row r="6" spans="1:14">
      <c r="A6" s="7" t="s">
        <v>3632</v>
      </c>
      <c r="B6" s="7" t="s">
        <v>12</v>
      </c>
      <c r="C6" s="7" t="s">
        <v>269</v>
      </c>
      <c r="D6" s="7" t="s">
        <v>3596</v>
      </c>
      <c r="E6" s="7" t="s">
        <v>431</v>
      </c>
      <c r="F6" s="7"/>
      <c r="G6" s="7" t="s">
        <v>98</v>
      </c>
      <c r="H6" s="7" t="s">
        <v>3633</v>
      </c>
      <c r="I6" s="7"/>
      <c r="J6" s="7" t="s">
        <v>942</v>
      </c>
      <c r="K6" s="7">
        <v>-1</v>
      </c>
      <c r="L6" s="46" t="s">
        <v>76</v>
      </c>
      <c r="M6" s="7"/>
      <c r="N6" s="46">
        <v>4</v>
      </c>
    </row>
    <row r="7" spans="1:14">
      <c r="A7" s="7" t="s">
        <v>3634</v>
      </c>
      <c r="B7" s="7" t="s">
        <v>12</v>
      </c>
      <c r="C7" s="7" t="s">
        <v>269</v>
      </c>
      <c r="D7" s="7" t="s">
        <v>3635</v>
      </c>
      <c r="E7" s="7" t="s">
        <v>351</v>
      </c>
      <c r="F7" s="7">
        <v>3</v>
      </c>
      <c r="G7" s="7" t="s">
        <v>74</v>
      </c>
      <c r="H7" s="7"/>
      <c r="I7" s="7"/>
      <c r="J7" s="7"/>
      <c r="K7" s="7" t="s">
        <v>327</v>
      </c>
      <c r="L7" s="46" t="s">
        <v>76</v>
      </c>
      <c r="M7" s="7"/>
      <c r="N7" s="46">
        <v>5</v>
      </c>
    </row>
    <row r="8" spans="1:14">
      <c r="A8" s="7" t="s">
        <v>3636</v>
      </c>
      <c r="B8" s="7" t="s">
        <v>12</v>
      </c>
      <c r="C8" s="7" t="s">
        <v>269</v>
      </c>
      <c r="D8" s="7" t="s">
        <v>3637</v>
      </c>
      <c r="E8" s="7" t="s">
        <v>351</v>
      </c>
      <c r="F8" s="7">
        <v>5</v>
      </c>
      <c r="G8" s="7" t="s">
        <v>74</v>
      </c>
      <c r="H8" s="7"/>
      <c r="I8" s="7"/>
      <c r="J8" s="7"/>
      <c r="K8" s="7" t="s">
        <v>327</v>
      </c>
      <c r="L8" s="46" t="s">
        <v>76</v>
      </c>
      <c r="M8" s="7"/>
      <c r="N8" s="46">
        <v>6</v>
      </c>
    </row>
    <row r="9" spans="1:14">
      <c r="A9" s="7" t="s">
        <v>984</v>
      </c>
      <c r="B9" s="7" t="s">
        <v>12</v>
      </c>
      <c r="C9" s="7" t="s">
        <v>269</v>
      </c>
      <c r="D9" s="7" t="s">
        <v>985</v>
      </c>
      <c r="E9" s="7" t="s">
        <v>351</v>
      </c>
      <c r="F9" s="7">
        <v>24</v>
      </c>
      <c r="G9" s="7" t="s">
        <v>98</v>
      </c>
      <c r="H9" s="7" t="s">
        <v>986</v>
      </c>
      <c r="I9" s="7"/>
      <c r="J9" s="7"/>
      <c r="K9" s="7" t="s">
        <v>327</v>
      </c>
      <c r="L9" s="46"/>
      <c r="M9" s="7"/>
      <c r="N9" s="46">
        <v>7</v>
      </c>
    </row>
    <row r="10" spans="1:14">
      <c r="A10" s="7" t="s">
        <v>3638</v>
      </c>
      <c r="B10" s="7" t="s">
        <v>12</v>
      </c>
      <c r="C10" s="7" t="s">
        <v>269</v>
      </c>
      <c r="D10" s="7" t="s">
        <v>3226</v>
      </c>
      <c r="E10" s="7" t="s">
        <v>351</v>
      </c>
      <c r="F10" s="7">
        <v>6</v>
      </c>
      <c r="G10" s="7" t="s">
        <v>74</v>
      </c>
      <c r="H10" s="7"/>
      <c r="I10" s="7"/>
      <c r="J10" s="7"/>
      <c r="K10" s="7" t="s">
        <v>327</v>
      </c>
      <c r="L10" s="46"/>
      <c r="M10" s="7"/>
      <c r="N10" s="46">
        <v>8</v>
      </c>
    </row>
    <row r="11" spans="1:14">
      <c r="A11" s="7" t="s">
        <v>345</v>
      </c>
      <c r="B11" s="7" t="s">
        <v>12</v>
      </c>
      <c r="C11" s="7" t="s">
        <v>269</v>
      </c>
      <c r="D11" s="7" t="s">
        <v>347</v>
      </c>
      <c r="E11" s="7" t="s">
        <v>351</v>
      </c>
      <c r="F11" s="7">
        <v>1</v>
      </c>
      <c r="G11" s="7" t="s">
        <v>98</v>
      </c>
      <c r="H11" s="7"/>
      <c r="I11" s="7"/>
      <c r="J11" s="7"/>
      <c r="K11" s="7" t="s">
        <v>327</v>
      </c>
      <c r="L11" s="46" t="s">
        <v>76</v>
      </c>
      <c r="M11" s="7"/>
      <c r="N11" s="46">
        <v>9</v>
      </c>
    </row>
    <row r="12" spans="1:14">
      <c r="A12" s="7" t="s">
        <v>1590</v>
      </c>
      <c r="B12" s="7" t="s">
        <v>12</v>
      </c>
      <c r="C12" s="7" t="s">
        <v>269</v>
      </c>
      <c r="D12" s="7" t="s">
        <v>2204</v>
      </c>
      <c r="E12" s="7" t="s">
        <v>367</v>
      </c>
      <c r="F12" s="7"/>
      <c r="G12" s="7" t="s">
        <v>98</v>
      </c>
      <c r="H12" s="7"/>
      <c r="I12" s="7"/>
      <c r="J12" s="7"/>
      <c r="K12" s="7" t="s">
        <v>368</v>
      </c>
      <c r="L12" s="46" t="s">
        <v>76</v>
      </c>
      <c r="M12" s="7"/>
      <c r="N12" s="46">
        <v>10</v>
      </c>
    </row>
    <row r="13" spans="1:14">
      <c r="A13" s="7" t="s">
        <v>3354</v>
      </c>
      <c r="B13" s="7" t="s">
        <v>12</v>
      </c>
      <c r="C13" s="7" t="s">
        <v>269</v>
      </c>
      <c r="D13" s="7" t="s">
        <v>3355</v>
      </c>
      <c r="E13" s="7" t="s">
        <v>351</v>
      </c>
      <c r="F13" s="7">
        <v>30</v>
      </c>
      <c r="G13" s="7" t="s">
        <v>98</v>
      </c>
      <c r="H13" s="7"/>
      <c r="I13" s="7"/>
      <c r="J13" s="7"/>
      <c r="K13" s="7" t="s">
        <v>327</v>
      </c>
      <c r="L13" s="46" t="s">
        <v>76</v>
      </c>
      <c r="M13" s="7"/>
      <c r="N13" s="46">
        <v>11</v>
      </c>
    </row>
    <row r="14" spans="1:14">
      <c r="A14" s="7" t="s">
        <v>3639</v>
      </c>
      <c r="B14" s="7" t="s">
        <v>12</v>
      </c>
      <c r="C14" s="7" t="s">
        <v>269</v>
      </c>
      <c r="D14" s="7" t="s">
        <v>3640</v>
      </c>
      <c r="E14" s="7" t="s">
        <v>351</v>
      </c>
      <c r="F14" s="7">
        <v>20</v>
      </c>
      <c r="G14" s="7" t="s">
        <v>74</v>
      </c>
      <c r="H14" s="7"/>
      <c r="I14" s="7"/>
      <c r="J14" s="7"/>
      <c r="K14" s="7" t="s">
        <v>327</v>
      </c>
      <c r="L14" s="46" t="s">
        <v>76</v>
      </c>
      <c r="M14" s="7"/>
      <c r="N14" s="46">
        <v>12</v>
      </c>
    </row>
    <row r="15" spans="1:14">
      <c r="A15" s="8" t="s">
        <v>350</v>
      </c>
      <c r="B15" s="8" t="s">
        <v>320</v>
      </c>
      <c r="C15" s="8"/>
      <c r="D15" s="8"/>
      <c r="E15" s="8" t="s">
        <v>351</v>
      </c>
      <c r="F15" s="8">
        <v>100</v>
      </c>
      <c r="G15" s="8" t="s">
        <v>98</v>
      </c>
      <c r="H15" s="8"/>
      <c r="I15" s="8"/>
      <c r="J15" s="8"/>
      <c r="K15" s="8" t="s">
        <v>327</v>
      </c>
      <c r="L15" s="46" t="s">
        <v>76</v>
      </c>
      <c r="M15" s="7"/>
      <c r="N15" s="46">
        <v>13</v>
      </c>
    </row>
    <row r="16" spans="1:14">
      <c r="A16" s="8" t="s">
        <v>354</v>
      </c>
      <c r="B16" s="8" t="s">
        <v>320</v>
      </c>
      <c r="C16" s="8"/>
      <c r="D16" s="8"/>
      <c r="E16" s="8" t="s">
        <v>351</v>
      </c>
      <c r="F16" s="8">
        <v>100</v>
      </c>
      <c r="G16" s="8" t="s">
        <v>98</v>
      </c>
      <c r="H16" s="8"/>
      <c r="I16" s="8"/>
      <c r="J16" s="8"/>
      <c r="K16" s="8" t="s">
        <v>327</v>
      </c>
      <c r="L16" s="46" t="s">
        <v>76</v>
      </c>
      <c r="M16" s="7"/>
      <c r="N16" s="46">
        <v>14</v>
      </c>
    </row>
    <row r="17" spans="1:14">
      <c r="A17" s="8" t="s">
        <v>357</v>
      </c>
      <c r="B17" s="8" t="s">
        <v>320</v>
      </c>
      <c r="C17" s="8"/>
      <c r="D17" s="8"/>
      <c r="E17" s="8" t="s">
        <v>351</v>
      </c>
      <c r="F17" s="8">
        <v>100</v>
      </c>
      <c r="G17" s="8" t="s">
        <v>98</v>
      </c>
      <c r="H17" s="8"/>
      <c r="I17" s="8"/>
      <c r="J17" s="8"/>
      <c r="K17" s="8" t="s">
        <v>327</v>
      </c>
      <c r="L17" s="46" t="s">
        <v>76</v>
      </c>
      <c r="M17" s="7"/>
      <c r="N17" s="46">
        <v>15</v>
      </c>
    </row>
    <row r="18" spans="1:14">
      <c r="A18" s="8" t="s">
        <v>360</v>
      </c>
      <c r="B18" s="8" t="s">
        <v>320</v>
      </c>
      <c r="C18" s="8"/>
      <c r="D18" s="8"/>
      <c r="E18" s="8" t="s">
        <v>351</v>
      </c>
      <c r="F18" s="8">
        <v>100</v>
      </c>
      <c r="G18" s="8" t="s">
        <v>98</v>
      </c>
      <c r="H18" s="8"/>
      <c r="I18" s="8"/>
      <c r="J18" s="8"/>
      <c r="K18" s="8" t="s">
        <v>327</v>
      </c>
      <c r="L18" s="46" t="s">
        <v>76</v>
      </c>
      <c r="M18" s="7"/>
      <c r="N18" s="46">
        <v>16</v>
      </c>
    </row>
    <row r="19" spans="1:14">
      <c r="A19" s="8" t="s">
        <v>363</v>
      </c>
      <c r="B19" s="8" t="s">
        <v>320</v>
      </c>
      <c r="C19" s="8"/>
      <c r="D19" s="8"/>
      <c r="E19" s="8" t="s">
        <v>351</v>
      </c>
      <c r="F19" s="8">
        <v>100</v>
      </c>
      <c r="G19" s="8" t="s">
        <v>98</v>
      </c>
      <c r="H19" s="8"/>
      <c r="I19" s="8"/>
      <c r="J19" s="8"/>
      <c r="K19" s="8" t="s">
        <v>327</v>
      </c>
      <c r="L19" s="46" t="s">
        <v>76</v>
      </c>
      <c r="M19" s="7"/>
      <c r="N19" s="46">
        <v>17</v>
      </c>
    </row>
    <row r="20" spans="1:14">
      <c r="A20" s="8" t="s">
        <v>366</v>
      </c>
      <c r="B20" s="8" t="s">
        <v>320</v>
      </c>
      <c r="C20" s="8"/>
      <c r="D20" s="8"/>
      <c r="E20" s="8" t="s">
        <v>367</v>
      </c>
      <c r="F20" s="8"/>
      <c r="G20" s="8" t="s">
        <v>98</v>
      </c>
      <c r="H20" s="8"/>
      <c r="I20" s="8"/>
      <c r="J20" s="8"/>
      <c r="K20" s="8" t="s">
        <v>368</v>
      </c>
      <c r="L20" s="46" t="s">
        <v>76</v>
      </c>
      <c r="M20" s="7"/>
      <c r="N20" s="46">
        <v>18</v>
      </c>
    </row>
    <row r="21" spans="1:14">
      <c r="A21" s="8" t="s">
        <v>371</v>
      </c>
      <c r="B21" s="8" t="s">
        <v>320</v>
      </c>
      <c r="C21" s="8"/>
      <c r="D21" s="8"/>
      <c r="E21" s="8" t="s">
        <v>367</v>
      </c>
      <c r="F21" s="8"/>
      <c r="G21" s="8" t="s">
        <v>98</v>
      </c>
      <c r="H21" s="8"/>
      <c r="I21" s="8"/>
      <c r="J21" s="8"/>
      <c r="K21" s="8" t="s">
        <v>368</v>
      </c>
      <c r="L21" s="46" t="s">
        <v>76</v>
      </c>
      <c r="M21" s="7"/>
      <c r="N21" s="46">
        <v>19</v>
      </c>
    </row>
    <row r="22" spans="1:14">
      <c r="A22" s="8" t="s">
        <v>374</v>
      </c>
      <c r="B22" s="8" t="s">
        <v>320</v>
      </c>
      <c r="C22" s="8"/>
      <c r="D22" s="8"/>
      <c r="E22" s="8" t="s">
        <v>351</v>
      </c>
      <c r="F22" s="8">
        <v>100</v>
      </c>
      <c r="G22" s="8" t="s">
        <v>98</v>
      </c>
      <c r="H22" s="8"/>
      <c r="I22" s="8"/>
      <c r="J22" s="8"/>
      <c r="K22" s="8" t="s">
        <v>327</v>
      </c>
      <c r="L22" s="46" t="s">
        <v>76</v>
      </c>
      <c r="M22" s="7"/>
      <c r="N22" s="46">
        <v>20</v>
      </c>
    </row>
    <row r="25" spans="1:14">
      <c r="A25" s="40" t="s">
        <v>3641</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9">
    <tabColor rgb="FFFF0000"/>
  </sheetPr>
  <dimension ref="A1:L37"/>
  <sheetViews>
    <sheetView workbookViewId="0">
      <selection activeCell="A38" sqref="A38"/>
    </sheetView>
  </sheetViews>
  <sheetFormatPr defaultRowHeight="14.45"/>
  <cols>
    <col min="1" max="1" width="41" customWidth="1"/>
    <col min="2" max="3" width="20.7109375" customWidth="1"/>
    <col min="4" max="4" width="36.140625" customWidth="1"/>
    <col min="5" max="7" width="15.7109375" customWidth="1"/>
    <col min="8" max="12" width="20.7109375" customWidth="1"/>
  </cols>
  <sheetData>
    <row r="1" spans="1:12" ht="60" customHeight="1">
      <c r="A1" s="1" t="s">
        <v>272</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3505</v>
      </c>
      <c r="B3" s="6" t="s">
        <v>320</v>
      </c>
      <c r="C3" s="6"/>
      <c r="D3" s="6"/>
      <c r="E3" s="6" t="s">
        <v>319</v>
      </c>
      <c r="F3" s="6"/>
      <c r="G3" s="6" t="s">
        <v>98</v>
      </c>
      <c r="H3" s="6" t="s">
        <v>321</v>
      </c>
      <c r="I3" s="6"/>
      <c r="J3" s="6"/>
      <c r="K3" s="6">
        <v>-1</v>
      </c>
    </row>
    <row r="4" spans="1:12">
      <c r="A4" s="9" t="s">
        <v>3642</v>
      </c>
      <c r="B4" s="9" t="s">
        <v>45</v>
      </c>
      <c r="C4" s="9" t="s">
        <v>273</v>
      </c>
      <c r="D4" s="9" t="s">
        <v>3000</v>
      </c>
      <c r="E4" s="9" t="s">
        <v>351</v>
      </c>
      <c r="F4" s="9">
        <v>256</v>
      </c>
      <c r="G4" s="9" t="s">
        <v>98</v>
      </c>
      <c r="H4" s="9"/>
      <c r="I4" s="9"/>
      <c r="J4" s="9"/>
      <c r="K4" s="9" t="s">
        <v>327</v>
      </c>
    </row>
    <row r="5" spans="1:12">
      <c r="A5" s="7" t="s">
        <v>3643</v>
      </c>
      <c r="B5" s="7" t="s">
        <v>45</v>
      </c>
      <c r="C5" s="7" t="s">
        <v>273</v>
      </c>
      <c r="D5" s="7" t="s">
        <v>3644</v>
      </c>
      <c r="E5" s="7" t="s">
        <v>351</v>
      </c>
      <c r="F5" s="7">
        <v>50</v>
      </c>
      <c r="G5" s="7" t="s">
        <v>74</v>
      </c>
      <c r="H5" s="7"/>
      <c r="I5" s="7"/>
      <c r="J5" s="7"/>
      <c r="K5" s="7" t="s">
        <v>327</v>
      </c>
    </row>
    <row r="6" spans="1:12">
      <c r="A6" s="7" t="s">
        <v>3645</v>
      </c>
      <c r="B6" s="7" t="s">
        <v>45</v>
      </c>
      <c r="C6" s="7" t="s">
        <v>273</v>
      </c>
      <c r="D6" s="7" t="s">
        <v>3646</v>
      </c>
      <c r="E6" s="7" t="s">
        <v>351</v>
      </c>
      <c r="F6" s="7">
        <v>50</v>
      </c>
      <c r="G6" s="7" t="s">
        <v>74</v>
      </c>
      <c r="H6" s="7"/>
      <c r="I6" s="7"/>
      <c r="J6" s="7"/>
      <c r="K6" s="7" t="s">
        <v>327</v>
      </c>
    </row>
    <row r="7" spans="1:12">
      <c r="A7" s="7" t="s">
        <v>3647</v>
      </c>
      <c r="B7" s="7" t="s">
        <v>45</v>
      </c>
      <c r="C7" s="7" t="s">
        <v>273</v>
      </c>
      <c r="D7" s="7" t="s">
        <v>3648</v>
      </c>
      <c r="E7" s="7" t="s">
        <v>431</v>
      </c>
      <c r="F7" s="7"/>
      <c r="G7" s="7" t="s">
        <v>98</v>
      </c>
      <c r="H7" s="7"/>
      <c r="I7" s="7"/>
      <c r="J7" s="7"/>
      <c r="K7" s="7">
        <v>-1</v>
      </c>
    </row>
    <row r="8" spans="1:12">
      <c r="A8" s="22" t="s">
        <v>526</v>
      </c>
      <c r="B8" s="22" t="s">
        <v>45</v>
      </c>
      <c r="C8" s="22" t="s">
        <v>273</v>
      </c>
      <c r="D8" s="22" t="s">
        <v>3547</v>
      </c>
      <c r="E8" s="22" t="s">
        <v>351</v>
      </c>
      <c r="F8" s="22">
        <v>2</v>
      </c>
      <c r="G8" s="22" t="s">
        <v>74</v>
      </c>
      <c r="H8" s="22" t="s">
        <v>3548</v>
      </c>
      <c r="I8" s="22"/>
      <c r="J8" s="22"/>
      <c r="K8" s="22" t="s">
        <v>327</v>
      </c>
    </row>
    <row r="9" spans="1:12">
      <c r="A9" s="7" t="s">
        <v>3518</v>
      </c>
      <c r="B9" s="7" t="s">
        <v>45</v>
      </c>
      <c r="C9" s="7" t="s">
        <v>273</v>
      </c>
      <c r="D9" s="7" t="s">
        <v>2395</v>
      </c>
      <c r="E9" s="7" t="s">
        <v>367</v>
      </c>
      <c r="F9" s="7"/>
      <c r="G9" s="7" t="s">
        <v>98</v>
      </c>
      <c r="H9" s="7"/>
      <c r="I9" s="7"/>
      <c r="J9" s="7"/>
      <c r="K9" s="7" t="s">
        <v>368</v>
      </c>
    </row>
    <row r="10" spans="1:12">
      <c r="A10" s="7" t="s">
        <v>3519</v>
      </c>
      <c r="B10" s="7" t="s">
        <v>45</v>
      </c>
      <c r="C10" s="7" t="s">
        <v>273</v>
      </c>
      <c r="D10" s="7" t="s">
        <v>3520</v>
      </c>
      <c r="E10" s="7" t="s">
        <v>3521</v>
      </c>
      <c r="F10" s="7">
        <v>-1</v>
      </c>
      <c r="G10" s="7" t="s">
        <v>74</v>
      </c>
      <c r="H10" s="7"/>
      <c r="I10" s="7"/>
      <c r="J10" s="7"/>
      <c r="K10" s="7"/>
    </row>
    <row r="11" spans="1:12">
      <c r="A11" s="7" t="s">
        <v>3522</v>
      </c>
      <c r="B11" s="7" t="s">
        <v>45</v>
      </c>
      <c r="C11" s="7" t="s">
        <v>273</v>
      </c>
      <c r="D11" s="7" t="s">
        <v>3004</v>
      </c>
      <c r="E11" s="7" t="s">
        <v>346</v>
      </c>
      <c r="F11" s="7"/>
      <c r="G11" s="7" t="s">
        <v>98</v>
      </c>
      <c r="H11" s="7"/>
      <c r="I11" s="7"/>
      <c r="J11" s="7"/>
      <c r="K11" s="7">
        <v>-1</v>
      </c>
    </row>
    <row r="12" spans="1:12">
      <c r="A12" s="7" t="s">
        <v>2670</v>
      </c>
      <c r="B12" s="7" t="s">
        <v>45</v>
      </c>
      <c r="C12" s="7" t="s">
        <v>273</v>
      </c>
      <c r="D12" s="7" t="s">
        <v>3</v>
      </c>
      <c r="E12" s="7" t="s">
        <v>351</v>
      </c>
      <c r="F12" s="7">
        <v>-1</v>
      </c>
      <c r="G12" s="7" t="s">
        <v>74</v>
      </c>
      <c r="H12" s="7"/>
      <c r="I12" s="7"/>
      <c r="J12" s="7"/>
      <c r="K12" s="7" t="s">
        <v>327</v>
      </c>
    </row>
    <row r="13" spans="1:12">
      <c r="A13" s="7" t="s">
        <v>3649</v>
      </c>
      <c r="B13" s="7" t="s">
        <v>45</v>
      </c>
      <c r="C13" s="7" t="s">
        <v>273</v>
      </c>
      <c r="D13" s="7" t="s">
        <v>2350</v>
      </c>
      <c r="E13" s="7" t="s">
        <v>351</v>
      </c>
      <c r="F13" s="7">
        <v>128</v>
      </c>
      <c r="G13" s="7" t="s">
        <v>74</v>
      </c>
      <c r="H13" s="7"/>
      <c r="I13" s="7"/>
      <c r="J13" s="7"/>
      <c r="K13" s="7" t="s">
        <v>327</v>
      </c>
    </row>
    <row r="14" spans="1:12">
      <c r="A14" s="7" t="s">
        <v>3650</v>
      </c>
      <c r="B14" s="7" t="s">
        <v>45</v>
      </c>
      <c r="C14" s="7" t="s">
        <v>273</v>
      </c>
      <c r="D14" s="7" t="s">
        <v>2232</v>
      </c>
      <c r="E14" s="7" t="s">
        <v>431</v>
      </c>
      <c r="F14" s="7"/>
      <c r="G14" s="7" t="s">
        <v>98</v>
      </c>
      <c r="H14" s="7"/>
      <c r="I14" s="7"/>
      <c r="J14" s="7" t="s">
        <v>942</v>
      </c>
      <c r="K14" s="7">
        <v>-1</v>
      </c>
    </row>
    <row r="15" spans="1:12">
      <c r="A15" s="7" t="s">
        <v>3651</v>
      </c>
      <c r="B15" s="7" t="s">
        <v>45</v>
      </c>
      <c r="C15" s="7" t="s">
        <v>273</v>
      </c>
      <c r="D15" s="7" t="s">
        <v>3652</v>
      </c>
      <c r="E15" s="7" t="s">
        <v>346</v>
      </c>
      <c r="F15" s="7"/>
      <c r="G15" s="7" t="s">
        <v>98</v>
      </c>
      <c r="H15" s="7"/>
      <c r="I15" s="7"/>
      <c r="J15" s="7"/>
      <c r="K15" s="7">
        <v>-1</v>
      </c>
    </row>
    <row r="16" spans="1:12">
      <c r="A16" s="7" t="s">
        <v>3653</v>
      </c>
      <c r="B16" s="7" t="s">
        <v>45</v>
      </c>
      <c r="C16" s="7" t="s">
        <v>273</v>
      </c>
      <c r="D16" s="7" t="s">
        <v>3654</v>
      </c>
      <c r="E16" s="7" t="s">
        <v>346</v>
      </c>
      <c r="F16" s="7"/>
      <c r="G16" s="7" t="s">
        <v>98</v>
      </c>
      <c r="H16" s="7"/>
      <c r="I16" s="7"/>
      <c r="J16" s="7"/>
      <c r="K16" s="7">
        <v>-1</v>
      </c>
    </row>
    <row r="17" spans="1:11">
      <c r="A17" s="7" t="s">
        <v>3524</v>
      </c>
      <c r="B17" s="7" t="s">
        <v>45</v>
      </c>
      <c r="C17" s="7" t="s">
        <v>273</v>
      </c>
      <c r="D17" s="7" t="s">
        <v>3525</v>
      </c>
      <c r="E17" s="7" t="s">
        <v>351</v>
      </c>
      <c r="F17" s="7">
        <v>-1</v>
      </c>
      <c r="G17" s="7" t="s">
        <v>74</v>
      </c>
      <c r="H17" s="7"/>
      <c r="I17" s="7"/>
      <c r="J17" s="7"/>
      <c r="K17" s="7" t="s">
        <v>327</v>
      </c>
    </row>
    <row r="18" spans="1:11">
      <c r="A18" s="7" t="s">
        <v>3526</v>
      </c>
      <c r="B18" s="7" t="s">
        <v>45</v>
      </c>
      <c r="C18" s="7" t="s">
        <v>273</v>
      </c>
      <c r="D18" s="7" t="s">
        <v>3527</v>
      </c>
      <c r="E18" s="7" t="s">
        <v>431</v>
      </c>
      <c r="F18" s="7"/>
      <c r="G18" s="7" t="s">
        <v>98</v>
      </c>
      <c r="H18" s="7"/>
      <c r="I18" s="7"/>
      <c r="J18" s="7"/>
      <c r="K18" s="7">
        <v>-1</v>
      </c>
    </row>
    <row r="19" spans="1:11">
      <c r="A19" s="7" t="s">
        <v>3655</v>
      </c>
      <c r="B19" s="7" t="s">
        <v>45</v>
      </c>
      <c r="C19" s="7" t="s">
        <v>273</v>
      </c>
      <c r="D19" s="7" t="s">
        <v>3656</v>
      </c>
      <c r="E19" s="7" t="s">
        <v>346</v>
      </c>
      <c r="F19" s="7"/>
      <c r="G19" s="7" t="s">
        <v>98</v>
      </c>
      <c r="H19" s="7"/>
      <c r="I19" s="7"/>
      <c r="J19" s="7"/>
      <c r="K19" s="7">
        <v>-1</v>
      </c>
    </row>
    <row r="20" spans="1:11">
      <c r="A20" s="7" t="s">
        <v>3657</v>
      </c>
      <c r="B20" s="7" t="s">
        <v>45</v>
      </c>
      <c r="C20" s="7" t="s">
        <v>273</v>
      </c>
      <c r="D20" s="7" t="s">
        <v>3658</v>
      </c>
      <c r="E20" s="7" t="s">
        <v>431</v>
      </c>
      <c r="F20" s="7"/>
      <c r="G20" s="7" t="s">
        <v>74</v>
      </c>
      <c r="H20" s="7"/>
      <c r="I20" s="7"/>
      <c r="J20" s="7"/>
      <c r="K20" s="7">
        <v>-1</v>
      </c>
    </row>
    <row r="21" spans="1:11">
      <c r="A21" s="7" t="s">
        <v>3530</v>
      </c>
      <c r="B21" s="7" t="s">
        <v>45</v>
      </c>
      <c r="C21" s="7" t="s">
        <v>273</v>
      </c>
      <c r="D21" s="7" t="s">
        <v>2241</v>
      </c>
      <c r="E21" s="7" t="s">
        <v>367</v>
      </c>
      <c r="F21" s="7"/>
      <c r="G21" s="7" t="s">
        <v>98</v>
      </c>
      <c r="H21" s="7"/>
      <c r="I21" s="7"/>
      <c r="J21" s="7"/>
      <c r="K21" s="7" t="s">
        <v>368</v>
      </c>
    </row>
    <row r="22" spans="1:11">
      <c r="A22" s="7" t="s">
        <v>3659</v>
      </c>
      <c r="B22" s="7" t="s">
        <v>45</v>
      </c>
      <c r="C22" s="7" t="s">
        <v>273</v>
      </c>
      <c r="D22" s="7" t="s">
        <v>1</v>
      </c>
      <c r="E22" s="7" t="s">
        <v>351</v>
      </c>
      <c r="F22" s="7">
        <v>256</v>
      </c>
      <c r="G22" s="7" t="s">
        <v>98</v>
      </c>
      <c r="H22" s="7"/>
      <c r="I22" s="7"/>
      <c r="J22" s="7"/>
      <c r="K22" s="7" t="s">
        <v>327</v>
      </c>
    </row>
    <row r="23" spans="1:11">
      <c r="A23" s="7" t="s">
        <v>3660</v>
      </c>
      <c r="B23" s="7" t="s">
        <v>45</v>
      </c>
      <c r="C23" s="7" t="s">
        <v>273</v>
      </c>
      <c r="D23" s="7" t="s">
        <v>3661</v>
      </c>
      <c r="E23" s="7" t="s">
        <v>431</v>
      </c>
      <c r="F23" s="7"/>
      <c r="G23" s="7" t="s">
        <v>98</v>
      </c>
      <c r="H23" s="7"/>
      <c r="I23" s="7"/>
      <c r="J23" s="7"/>
      <c r="K23" s="7">
        <v>-1</v>
      </c>
    </row>
    <row r="24" spans="1:11">
      <c r="A24" s="7" t="s">
        <v>3662</v>
      </c>
      <c r="B24" s="7" t="s">
        <v>45</v>
      </c>
      <c r="C24" s="7" t="s">
        <v>273</v>
      </c>
      <c r="D24" s="7" t="s">
        <v>3663</v>
      </c>
      <c r="E24" s="7" t="s">
        <v>351</v>
      </c>
      <c r="F24" s="7">
        <v>20</v>
      </c>
      <c r="G24" s="7" t="s">
        <v>74</v>
      </c>
      <c r="H24" s="7"/>
      <c r="I24" s="7"/>
      <c r="J24" s="7"/>
      <c r="K24" s="7" t="s">
        <v>327</v>
      </c>
    </row>
    <row r="25" spans="1:11">
      <c r="A25" s="7" t="s">
        <v>3664</v>
      </c>
      <c r="B25" s="7" t="s">
        <v>45</v>
      </c>
      <c r="C25" s="7" t="s">
        <v>273</v>
      </c>
      <c r="D25" s="7" t="s">
        <v>3665</v>
      </c>
      <c r="E25" s="7" t="s">
        <v>351</v>
      </c>
      <c r="F25" s="7">
        <v>-1</v>
      </c>
      <c r="G25" s="7" t="s">
        <v>74</v>
      </c>
      <c r="H25" s="7"/>
      <c r="I25" s="7"/>
      <c r="J25" s="7"/>
      <c r="K25" s="7" t="s">
        <v>327</v>
      </c>
    </row>
    <row r="26" spans="1:11">
      <c r="A26" s="7" t="s">
        <v>3666</v>
      </c>
      <c r="B26" s="7" t="s">
        <v>45</v>
      </c>
      <c r="C26" s="7" t="s">
        <v>273</v>
      </c>
      <c r="D26" s="7" t="s">
        <v>3667</v>
      </c>
      <c r="E26" s="7" t="s">
        <v>351</v>
      </c>
      <c r="F26" s="7">
        <v>128</v>
      </c>
      <c r="G26" s="7" t="s">
        <v>74</v>
      </c>
      <c r="H26" s="7"/>
      <c r="I26" s="7"/>
      <c r="J26" s="7"/>
      <c r="K26" s="7" t="s">
        <v>327</v>
      </c>
    </row>
    <row r="27" spans="1:11">
      <c r="A27" s="8" t="s">
        <v>350</v>
      </c>
      <c r="B27" s="8" t="s">
        <v>320</v>
      </c>
      <c r="C27" s="8"/>
      <c r="D27" s="8"/>
      <c r="E27" s="8" t="s">
        <v>351</v>
      </c>
      <c r="F27" s="8">
        <v>100</v>
      </c>
      <c r="G27" s="8" t="s">
        <v>98</v>
      </c>
      <c r="H27" s="8"/>
      <c r="I27" s="8"/>
      <c r="J27" s="8"/>
      <c r="K27" s="8" t="s">
        <v>327</v>
      </c>
    </row>
    <row r="28" spans="1:11">
      <c r="A28" s="8" t="s">
        <v>354</v>
      </c>
      <c r="B28" s="8" t="s">
        <v>320</v>
      </c>
      <c r="C28" s="8"/>
      <c r="D28" s="8"/>
      <c r="E28" s="8" t="s">
        <v>351</v>
      </c>
      <c r="F28" s="8">
        <v>100</v>
      </c>
      <c r="G28" s="8" t="s">
        <v>98</v>
      </c>
      <c r="H28" s="8"/>
      <c r="I28" s="8"/>
      <c r="J28" s="8"/>
      <c r="K28" s="8" t="s">
        <v>327</v>
      </c>
    </row>
    <row r="29" spans="1:11">
      <c r="A29" s="8" t="s">
        <v>357</v>
      </c>
      <c r="B29" s="8" t="s">
        <v>320</v>
      </c>
      <c r="C29" s="8"/>
      <c r="D29" s="8"/>
      <c r="E29" s="8" t="s">
        <v>351</v>
      </c>
      <c r="F29" s="8">
        <v>100</v>
      </c>
      <c r="G29" s="8" t="s">
        <v>98</v>
      </c>
      <c r="H29" s="8"/>
      <c r="I29" s="8"/>
      <c r="J29" s="8"/>
      <c r="K29" s="8" t="s">
        <v>327</v>
      </c>
    </row>
    <row r="30" spans="1:11">
      <c r="A30" s="8" t="s">
        <v>360</v>
      </c>
      <c r="B30" s="8" t="s">
        <v>320</v>
      </c>
      <c r="C30" s="8"/>
      <c r="D30" s="8"/>
      <c r="E30" s="8" t="s">
        <v>351</v>
      </c>
      <c r="F30" s="8">
        <v>100</v>
      </c>
      <c r="G30" s="8" t="s">
        <v>98</v>
      </c>
      <c r="H30" s="8"/>
      <c r="I30" s="8"/>
      <c r="J30" s="8"/>
      <c r="K30" s="8" t="s">
        <v>327</v>
      </c>
    </row>
    <row r="31" spans="1:11">
      <c r="A31" s="8" t="s">
        <v>363</v>
      </c>
      <c r="B31" s="8" t="s">
        <v>320</v>
      </c>
      <c r="C31" s="8"/>
      <c r="D31" s="8"/>
      <c r="E31" s="8" t="s">
        <v>351</v>
      </c>
      <c r="F31" s="8">
        <v>100</v>
      </c>
      <c r="G31" s="8" t="s">
        <v>98</v>
      </c>
      <c r="H31" s="8"/>
      <c r="I31" s="8"/>
      <c r="J31" s="8"/>
      <c r="K31" s="8" t="s">
        <v>327</v>
      </c>
    </row>
    <row r="32" spans="1:11">
      <c r="A32" s="8" t="s">
        <v>366</v>
      </c>
      <c r="B32" s="8" t="s">
        <v>320</v>
      </c>
      <c r="C32" s="8"/>
      <c r="D32" s="8"/>
      <c r="E32" s="8" t="s">
        <v>367</v>
      </c>
      <c r="F32" s="8"/>
      <c r="G32" s="8" t="s">
        <v>98</v>
      </c>
      <c r="H32" s="8"/>
      <c r="I32" s="8"/>
      <c r="J32" s="8"/>
      <c r="K32" s="8" t="s">
        <v>368</v>
      </c>
    </row>
    <row r="33" spans="1:11">
      <c r="A33" s="8" t="s">
        <v>371</v>
      </c>
      <c r="B33" s="8" t="s">
        <v>320</v>
      </c>
      <c r="C33" s="8"/>
      <c r="D33" s="8"/>
      <c r="E33" s="8" t="s">
        <v>367</v>
      </c>
      <c r="F33" s="8"/>
      <c r="G33" s="8" t="s">
        <v>98</v>
      </c>
      <c r="H33" s="8"/>
      <c r="I33" s="8"/>
      <c r="J33" s="8"/>
      <c r="K33" s="8" t="s">
        <v>368</v>
      </c>
    </row>
    <row r="34" spans="1:11">
      <c r="A34" s="8" t="s">
        <v>374</v>
      </c>
      <c r="B34" s="8" t="s">
        <v>320</v>
      </c>
      <c r="C34" s="8"/>
      <c r="D34" s="8"/>
      <c r="E34" s="8" t="s">
        <v>351</v>
      </c>
      <c r="F34" s="8">
        <v>100</v>
      </c>
      <c r="G34" s="8" t="s">
        <v>98</v>
      </c>
      <c r="H34" s="8"/>
      <c r="I34" s="8"/>
      <c r="J34" s="8"/>
      <c r="K34" s="8" t="s">
        <v>327</v>
      </c>
    </row>
    <row r="37" spans="1:11">
      <c r="A37" s="40" t="s">
        <v>3668</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0">
    <tabColor rgb="FFFF0000"/>
  </sheetPr>
  <dimension ref="A1:N19"/>
  <sheetViews>
    <sheetView workbookViewId="0">
      <selection activeCell="L2" sqref="L2:N3"/>
    </sheetView>
  </sheetViews>
  <sheetFormatPr defaultRowHeight="14.45"/>
  <cols>
    <col min="1" max="1" width="25.7109375" customWidth="1"/>
    <col min="2" max="4" width="20.7109375" customWidth="1"/>
    <col min="5" max="7" width="15.7109375" customWidth="1"/>
    <col min="8" max="11" width="20.7109375" customWidth="1"/>
    <col min="12" max="12" width="15.7109375" bestFit="1" customWidth="1"/>
    <col min="13" max="13" width="39.28515625" customWidth="1"/>
    <col min="14" max="14" width="17.28515625" bestFit="1" customWidth="1"/>
  </cols>
  <sheetData>
    <row r="1" spans="1:14" ht="60" customHeight="1">
      <c r="A1" s="1" t="s">
        <v>275</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3669</v>
      </c>
      <c r="B3" s="6" t="s">
        <v>320</v>
      </c>
      <c r="C3" s="6"/>
      <c r="D3" s="6"/>
      <c r="E3" s="6" t="s">
        <v>319</v>
      </c>
      <c r="F3" s="6"/>
      <c r="G3" s="6" t="s">
        <v>98</v>
      </c>
      <c r="H3" s="6" t="s">
        <v>321</v>
      </c>
      <c r="I3" s="6"/>
      <c r="J3" s="6"/>
      <c r="K3" s="6">
        <v>-1</v>
      </c>
      <c r="L3" s="46"/>
      <c r="M3" s="7"/>
      <c r="N3" s="46">
        <v>1</v>
      </c>
    </row>
    <row r="4" spans="1:14">
      <c r="A4" s="7" t="s">
        <v>3670</v>
      </c>
      <c r="B4" s="7" t="s">
        <v>12</v>
      </c>
      <c r="C4" s="7" t="s">
        <v>276</v>
      </c>
      <c r="D4" s="7" t="s">
        <v>3671</v>
      </c>
      <c r="E4" s="7" t="s">
        <v>431</v>
      </c>
      <c r="F4" s="7"/>
      <c r="G4" s="7" t="s">
        <v>98</v>
      </c>
      <c r="H4" s="7"/>
      <c r="I4" s="7"/>
      <c r="J4" s="7" t="s">
        <v>942</v>
      </c>
      <c r="K4" s="7">
        <v>-1</v>
      </c>
      <c r="L4" s="46"/>
      <c r="M4" s="7"/>
      <c r="N4" s="46">
        <v>2</v>
      </c>
    </row>
    <row r="5" spans="1:14">
      <c r="A5" s="27" t="s">
        <v>3391</v>
      </c>
      <c r="B5" s="27" t="s">
        <v>12</v>
      </c>
      <c r="C5" s="27" t="s">
        <v>276</v>
      </c>
      <c r="D5" s="27" t="s">
        <v>2155</v>
      </c>
      <c r="E5" s="27" t="s">
        <v>351</v>
      </c>
      <c r="F5" s="27">
        <v>5</v>
      </c>
      <c r="G5" s="27" t="s">
        <v>74</v>
      </c>
      <c r="H5" s="27" t="s">
        <v>3450</v>
      </c>
      <c r="I5" s="27"/>
      <c r="J5" s="27"/>
      <c r="K5" s="27" t="s">
        <v>327</v>
      </c>
      <c r="L5" s="46"/>
      <c r="M5" s="7"/>
      <c r="N5" s="46">
        <v>3</v>
      </c>
    </row>
    <row r="6" spans="1:14">
      <c r="A6" s="9" t="s">
        <v>3672</v>
      </c>
      <c r="B6" s="9" t="s">
        <v>12</v>
      </c>
      <c r="C6" s="9" t="s">
        <v>276</v>
      </c>
      <c r="D6" s="9" t="s">
        <v>3038</v>
      </c>
      <c r="E6" s="9" t="s">
        <v>351</v>
      </c>
      <c r="F6" s="9">
        <v>100</v>
      </c>
      <c r="G6" s="9" t="s">
        <v>98</v>
      </c>
      <c r="H6" s="9"/>
      <c r="I6" s="9"/>
      <c r="J6" s="9"/>
      <c r="K6" s="9" t="s">
        <v>327</v>
      </c>
      <c r="L6" s="46"/>
      <c r="M6" s="7"/>
      <c r="N6" s="46">
        <v>4</v>
      </c>
    </row>
    <row r="7" spans="1:14">
      <c r="A7" s="7" t="s">
        <v>345</v>
      </c>
      <c r="B7" s="7" t="s">
        <v>12</v>
      </c>
      <c r="C7" s="7" t="s">
        <v>276</v>
      </c>
      <c r="D7" s="7" t="s">
        <v>347</v>
      </c>
      <c r="E7" s="7" t="s">
        <v>346</v>
      </c>
      <c r="F7" s="7"/>
      <c r="G7" s="7" t="s">
        <v>98</v>
      </c>
      <c r="H7" s="7"/>
      <c r="I7" s="7"/>
      <c r="J7" s="7"/>
      <c r="K7" s="7">
        <v>-1</v>
      </c>
      <c r="L7" s="46"/>
      <c r="M7" s="7"/>
      <c r="N7" s="46">
        <v>5</v>
      </c>
    </row>
    <row r="8" spans="1:14">
      <c r="A8" s="7" t="s">
        <v>3673</v>
      </c>
      <c r="B8" s="7" t="s">
        <v>12</v>
      </c>
      <c r="C8" s="7" t="s">
        <v>276</v>
      </c>
      <c r="D8" s="7" t="s">
        <v>2204</v>
      </c>
      <c r="E8" s="7" t="s">
        <v>367</v>
      </c>
      <c r="F8" s="7"/>
      <c r="G8" s="7" t="s">
        <v>98</v>
      </c>
      <c r="H8" s="7"/>
      <c r="I8" s="7"/>
      <c r="J8" s="7"/>
      <c r="K8" s="7" t="s">
        <v>368</v>
      </c>
      <c r="L8" s="46"/>
      <c r="M8" s="7" t="s">
        <v>1593</v>
      </c>
      <c r="N8" s="46">
        <v>6</v>
      </c>
    </row>
    <row r="9" spans="1:14">
      <c r="A9" s="8" t="s">
        <v>350</v>
      </c>
      <c r="B9" s="8" t="s">
        <v>320</v>
      </c>
      <c r="C9" s="8"/>
      <c r="D9" s="8"/>
      <c r="E9" s="8" t="s">
        <v>351</v>
      </c>
      <c r="F9" s="8">
        <v>100</v>
      </c>
      <c r="G9" s="8" t="s">
        <v>98</v>
      </c>
      <c r="H9" s="8"/>
      <c r="I9" s="8"/>
      <c r="J9" s="8"/>
      <c r="K9" s="8" t="s">
        <v>327</v>
      </c>
      <c r="L9" s="46"/>
      <c r="M9" s="7"/>
      <c r="N9" s="46">
        <v>7</v>
      </c>
    </row>
    <row r="10" spans="1:14">
      <c r="A10" s="8" t="s">
        <v>354</v>
      </c>
      <c r="B10" s="8" t="s">
        <v>320</v>
      </c>
      <c r="C10" s="8"/>
      <c r="D10" s="8"/>
      <c r="E10" s="8" t="s">
        <v>351</v>
      </c>
      <c r="F10" s="8">
        <v>100</v>
      </c>
      <c r="G10" s="8" t="s">
        <v>98</v>
      </c>
      <c r="H10" s="8"/>
      <c r="I10" s="8"/>
      <c r="J10" s="8"/>
      <c r="K10" s="8" t="s">
        <v>327</v>
      </c>
      <c r="L10" s="46"/>
      <c r="M10" s="7"/>
      <c r="N10" s="46">
        <v>8</v>
      </c>
    </row>
    <row r="11" spans="1:14">
      <c r="A11" s="8" t="s">
        <v>357</v>
      </c>
      <c r="B11" s="8" t="s">
        <v>320</v>
      </c>
      <c r="C11" s="8"/>
      <c r="D11" s="8"/>
      <c r="E11" s="8" t="s">
        <v>351</v>
      </c>
      <c r="F11" s="8">
        <v>100</v>
      </c>
      <c r="G11" s="8" t="s">
        <v>98</v>
      </c>
      <c r="H11" s="8"/>
      <c r="I11" s="8"/>
      <c r="J11" s="8"/>
      <c r="K11" s="8" t="s">
        <v>327</v>
      </c>
      <c r="L11" s="46"/>
      <c r="M11" s="7"/>
      <c r="N11" s="46">
        <v>9</v>
      </c>
    </row>
    <row r="12" spans="1:14">
      <c r="A12" s="8" t="s">
        <v>360</v>
      </c>
      <c r="B12" s="8" t="s">
        <v>320</v>
      </c>
      <c r="C12" s="8"/>
      <c r="D12" s="8"/>
      <c r="E12" s="8" t="s">
        <v>351</v>
      </c>
      <c r="F12" s="8">
        <v>100</v>
      </c>
      <c r="G12" s="8" t="s">
        <v>98</v>
      </c>
      <c r="H12" s="8"/>
      <c r="I12" s="8"/>
      <c r="J12" s="8"/>
      <c r="K12" s="8" t="s">
        <v>327</v>
      </c>
      <c r="L12" s="46"/>
      <c r="M12" s="7"/>
      <c r="N12" s="46">
        <v>10</v>
      </c>
    </row>
    <row r="13" spans="1:14">
      <c r="A13" s="8" t="s">
        <v>363</v>
      </c>
      <c r="B13" s="8" t="s">
        <v>320</v>
      </c>
      <c r="C13" s="8"/>
      <c r="D13" s="8"/>
      <c r="E13" s="8" t="s">
        <v>351</v>
      </c>
      <c r="F13" s="8">
        <v>100</v>
      </c>
      <c r="G13" s="8" t="s">
        <v>98</v>
      </c>
      <c r="H13" s="8"/>
      <c r="I13" s="8"/>
      <c r="J13" s="8"/>
      <c r="K13" s="8" t="s">
        <v>327</v>
      </c>
      <c r="L13" s="46"/>
      <c r="M13" s="7"/>
      <c r="N13" s="46">
        <v>11</v>
      </c>
    </row>
    <row r="14" spans="1:14">
      <c r="A14" s="8" t="s">
        <v>366</v>
      </c>
      <c r="B14" s="8" t="s">
        <v>320</v>
      </c>
      <c r="C14" s="8"/>
      <c r="D14" s="8"/>
      <c r="E14" s="8" t="s">
        <v>367</v>
      </c>
      <c r="F14" s="8"/>
      <c r="G14" s="8" t="s">
        <v>98</v>
      </c>
      <c r="H14" s="8"/>
      <c r="I14" s="8"/>
      <c r="J14" s="8"/>
      <c r="K14" s="8" t="s">
        <v>368</v>
      </c>
      <c r="L14" s="46"/>
      <c r="M14" s="7"/>
      <c r="N14" s="46">
        <v>12</v>
      </c>
    </row>
    <row r="15" spans="1:14">
      <c r="A15" s="8" t="s">
        <v>371</v>
      </c>
      <c r="B15" s="8" t="s">
        <v>320</v>
      </c>
      <c r="C15" s="8"/>
      <c r="D15" s="8"/>
      <c r="E15" s="8" t="s">
        <v>367</v>
      </c>
      <c r="F15" s="8"/>
      <c r="G15" s="8" t="s">
        <v>98</v>
      </c>
      <c r="H15" s="8"/>
      <c r="I15" s="8"/>
      <c r="J15" s="8"/>
      <c r="K15" s="8" t="s">
        <v>368</v>
      </c>
      <c r="L15" s="46"/>
      <c r="M15" s="7"/>
      <c r="N15" s="46">
        <v>13</v>
      </c>
    </row>
    <row r="16" spans="1:14">
      <c r="A16" s="8" t="s">
        <v>374</v>
      </c>
      <c r="B16" s="8" t="s">
        <v>320</v>
      </c>
      <c r="C16" s="8"/>
      <c r="D16" s="8"/>
      <c r="E16" s="8" t="s">
        <v>351</v>
      </c>
      <c r="F16" s="8">
        <v>100</v>
      </c>
      <c r="G16" s="8" t="s">
        <v>98</v>
      </c>
      <c r="H16" s="8"/>
      <c r="I16" s="8"/>
      <c r="J16" s="8"/>
      <c r="K16" s="8" t="s">
        <v>327</v>
      </c>
      <c r="L16" s="46"/>
      <c r="M16" s="7"/>
      <c r="N16" s="46">
        <v>14</v>
      </c>
    </row>
    <row r="19" spans="1:3">
      <c r="A19" s="40" t="s">
        <v>3674</v>
      </c>
      <c r="C19" t="s">
        <v>3675</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8097C-2953-4135-A324-4D576C90737D}">
  <sheetPr>
    <tabColor rgb="FFFF0000"/>
  </sheetPr>
  <dimension ref="A1:N18"/>
  <sheetViews>
    <sheetView workbookViewId="0">
      <selection activeCell="A8" sqref="A8"/>
    </sheetView>
  </sheetViews>
  <sheetFormatPr defaultRowHeight="14.45"/>
  <cols>
    <col min="1" max="1" width="34.28515625" customWidth="1"/>
    <col min="2" max="2" width="27.42578125" customWidth="1"/>
    <col min="3" max="3" width="49.28515625" customWidth="1"/>
    <col min="4" max="4" width="26" customWidth="1"/>
    <col min="5" max="5" width="18" customWidth="1"/>
    <col min="6" max="6" width="17.42578125" customWidth="1"/>
    <col min="7" max="7" width="16.85546875" customWidth="1"/>
    <col min="8" max="8" width="44.7109375" customWidth="1"/>
    <col min="9" max="9" width="21.5703125" customWidth="1"/>
    <col min="10" max="10" width="25.42578125" customWidth="1"/>
    <col min="11" max="11" width="22" customWidth="1"/>
    <col min="12" max="12" width="15.7109375" bestFit="1" customWidth="1"/>
    <col min="13" max="13" width="39.28515625" customWidth="1"/>
    <col min="14" max="14" width="17.28515625" bestFit="1" customWidth="1"/>
  </cols>
  <sheetData>
    <row r="1" spans="1:14" ht="76.5" customHeight="1">
      <c r="A1" s="1" t="s">
        <v>285</v>
      </c>
      <c r="D1" s="2" t="s">
        <v>297</v>
      </c>
      <c r="I1" s="3" t="s">
        <v>298</v>
      </c>
      <c r="J1" s="4" t="s">
        <v>299</v>
      </c>
      <c r="K1" s="19" t="s">
        <v>300</v>
      </c>
      <c r="L1" s="23" t="s">
        <v>301</v>
      </c>
    </row>
    <row r="2" spans="1:14">
      <c r="A2" s="5" t="s">
        <v>302</v>
      </c>
      <c r="B2" s="5" t="s">
        <v>85</v>
      </c>
      <c r="C2" s="5" t="s">
        <v>305</v>
      </c>
      <c r="D2" s="5" t="s">
        <v>306</v>
      </c>
      <c r="E2" s="5" t="s">
        <v>307</v>
      </c>
      <c r="F2" s="5" t="s">
        <v>308</v>
      </c>
      <c r="G2" s="5" t="s">
        <v>309</v>
      </c>
      <c r="H2" s="5" t="s">
        <v>310</v>
      </c>
      <c r="I2" s="5" t="s">
        <v>311</v>
      </c>
      <c r="J2" s="5" t="s">
        <v>90</v>
      </c>
      <c r="K2" s="5" t="s">
        <v>312</v>
      </c>
      <c r="L2" s="48" t="s">
        <v>313</v>
      </c>
      <c r="M2" s="47" t="s">
        <v>314</v>
      </c>
      <c r="N2" s="48" t="s">
        <v>315</v>
      </c>
    </row>
    <row r="3" spans="1:14">
      <c r="A3" s="6" t="s">
        <v>3676</v>
      </c>
      <c r="B3" s="6" t="s">
        <v>320</v>
      </c>
      <c r="C3" s="6" t="s">
        <v>3677</v>
      </c>
      <c r="D3" s="6"/>
      <c r="E3" s="6" t="s">
        <v>319</v>
      </c>
      <c r="F3" s="6"/>
      <c r="G3" s="6" t="s">
        <v>98</v>
      </c>
      <c r="H3" s="6" t="s">
        <v>321</v>
      </c>
      <c r="I3" s="6"/>
      <c r="J3" s="6"/>
      <c r="K3" s="6">
        <v>-1</v>
      </c>
      <c r="L3" s="46"/>
      <c r="M3" s="7"/>
      <c r="N3" s="46">
        <v>1</v>
      </c>
    </row>
    <row r="4" spans="1:14" s="38" customFormat="1">
      <c r="A4" s="27" t="s">
        <v>1103</v>
      </c>
      <c r="B4" s="27" t="s">
        <v>21</v>
      </c>
      <c r="C4" s="27" t="s">
        <v>3677</v>
      </c>
      <c r="D4" s="27" t="s">
        <v>281</v>
      </c>
      <c r="E4" s="27" t="s">
        <v>431</v>
      </c>
      <c r="F4" s="27"/>
      <c r="G4" s="27"/>
      <c r="H4" s="27" t="s">
        <v>3678</v>
      </c>
      <c r="I4" s="27"/>
      <c r="J4" s="27"/>
      <c r="K4" s="27"/>
      <c r="L4" s="46"/>
      <c r="M4" s="7"/>
      <c r="N4" s="46">
        <v>2</v>
      </c>
    </row>
    <row r="5" spans="1:14" s="39" customFormat="1">
      <c r="A5" s="27" t="s">
        <v>1072</v>
      </c>
      <c r="B5" s="27" t="s">
        <v>21</v>
      </c>
      <c r="C5" s="27" t="s">
        <v>3677</v>
      </c>
      <c r="D5" s="27" t="s">
        <v>3679</v>
      </c>
      <c r="E5" s="27" t="s">
        <v>325</v>
      </c>
      <c r="F5" s="27">
        <v>2</v>
      </c>
      <c r="G5" s="27"/>
      <c r="H5" s="27" t="s">
        <v>3566</v>
      </c>
      <c r="I5" s="27"/>
      <c r="J5" s="27"/>
      <c r="K5" s="27"/>
      <c r="L5" s="46"/>
      <c r="M5" s="51" t="s">
        <v>3680</v>
      </c>
      <c r="N5" s="46">
        <v>3</v>
      </c>
    </row>
    <row r="6" spans="1:14">
      <c r="A6" s="7" t="s">
        <v>345</v>
      </c>
      <c r="B6" s="7" t="s">
        <v>21</v>
      </c>
      <c r="C6" s="7" t="s">
        <v>3677</v>
      </c>
      <c r="D6" s="7" t="s">
        <v>3434</v>
      </c>
      <c r="E6" s="7" t="s">
        <v>346</v>
      </c>
      <c r="F6" s="7"/>
      <c r="G6" s="7" t="s">
        <v>98</v>
      </c>
      <c r="H6" s="7"/>
      <c r="I6" s="7"/>
      <c r="J6" s="7"/>
      <c r="K6" s="7"/>
      <c r="L6" s="46"/>
      <c r="M6" s="7"/>
      <c r="N6" s="46">
        <v>4</v>
      </c>
    </row>
    <row r="7" spans="1:14">
      <c r="A7" s="7" t="s">
        <v>1590</v>
      </c>
      <c r="B7" s="7" t="s">
        <v>21</v>
      </c>
      <c r="C7" s="7" t="s">
        <v>3677</v>
      </c>
      <c r="D7" s="7" t="s">
        <v>3435</v>
      </c>
      <c r="E7" s="7" t="s">
        <v>367</v>
      </c>
      <c r="F7" s="7"/>
      <c r="G7" s="7" t="s">
        <v>98</v>
      </c>
      <c r="H7" s="7"/>
      <c r="I7" s="7"/>
      <c r="J7" s="7"/>
      <c r="K7" s="7"/>
      <c r="L7" s="46"/>
      <c r="M7" s="7" t="s">
        <v>1593</v>
      </c>
      <c r="N7" s="46">
        <v>5</v>
      </c>
    </row>
    <row r="8" spans="1:14">
      <c r="A8" s="8" t="s">
        <v>350</v>
      </c>
      <c r="B8" s="8" t="s">
        <v>320</v>
      </c>
      <c r="C8" s="8"/>
      <c r="D8" s="8"/>
      <c r="E8" s="8" t="s">
        <v>351</v>
      </c>
      <c r="F8" s="8">
        <v>100</v>
      </c>
      <c r="G8" s="8" t="s">
        <v>98</v>
      </c>
      <c r="H8" s="8"/>
      <c r="I8" s="8"/>
      <c r="J8" s="8"/>
      <c r="K8" s="8" t="s">
        <v>327</v>
      </c>
      <c r="L8" s="46"/>
      <c r="M8" s="7"/>
      <c r="N8" s="46">
        <v>6</v>
      </c>
    </row>
    <row r="9" spans="1:14">
      <c r="A9" s="8" t="s">
        <v>354</v>
      </c>
      <c r="B9" s="8" t="s">
        <v>320</v>
      </c>
      <c r="C9" s="8"/>
      <c r="D9" s="8"/>
      <c r="E9" s="8" t="s">
        <v>351</v>
      </c>
      <c r="F9" s="8">
        <v>100</v>
      </c>
      <c r="G9" s="8" t="s">
        <v>98</v>
      </c>
      <c r="H9" s="8"/>
      <c r="I9" s="8"/>
      <c r="J9" s="8"/>
      <c r="K9" s="8" t="s">
        <v>327</v>
      </c>
      <c r="L9" s="46"/>
      <c r="M9" s="7"/>
      <c r="N9" s="46">
        <v>7</v>
      </c>
    </row>
    <row r="10" spans="1:14">
      <c r="A10" s="8" t="s">
        <v>357</v>
      </c>
      <c r="B10" s="8" t="s">
        <v>320</v>
      </c>
      <c r="C10" s="8"/>
      <c r="D10" s="8"/>
      <c r="E10" s="8" t="s">
        <v>351</v>
      </c>
      <c r="F10" s="8">
        <v>100</v>
      </c>
      <c r="G10" s="8" t="s">
        <v>98</v>
      </c>
      <c r="H10" s="8"/>
      <c r="I10" s="8"/>
      <c r="J10" s="8"/>
      <c r="K10" s="8" t="s">
        <v>327</v>
      </c>
      <c r="L10" s="46"/>
      <c r="M10" s="7"/>
      <c r="N10" s="46">
        <v>8</v>
      </c>
    </row>
    <row r="11" spans="1:14">
      <c r="A11" s="8" t="s">
        <v>360</v>
      </c>
      <c r="B11" s="8" t="s">
        <v>320</v>
      </c>
      <c r="C11" s="8"/>
      <c r="D11" s="8"/>
      <c r="E11" s="8" t="s">
        <v>351</v>
      </c>
      <c r="F11" s="8">
        <v>100</v>
      </c>
      <c r="G11" s="8" t="s">
        <v>98</v>
      </c>
      <c r="H11" s="8"/>
      <c r="I11" s="8"/>
      <c r="J11" s="8"/>
      <c r="K11" s="8" t="s">
        <v>327</v>
      </c>
      <c r="L11" s="46"/>
      <c r="M11" s="7"/>
      <c r="N11" s="46">
        <v>9</v>
      </c>
    </row>
    <row r="12" spans="1:14">
      <c r="A12" s="8" t="s">
        <v>363</v>
      </c>
      <c r="B12" s="8" t="s">
        <v>320</v>
      </c>
      <c r="C12" s="8"/>
      <c r="D12" s="8"/>
      <c r="E12" s="8" t="s">
        <v>351</v>
      </c>
      <c r="F12" s="8">
        <v>100</v>
      </c>
      <c r="G12" s="8" t="s">
        <v>98</v>
      </c>
      <c r="H12" s="8"/>
      <c r="I12" s="8"/>
      <c r="J12" s="8"/>
      <c r="K12" s="8" t="s">
        <v>327</v>
      </c>
      <c r="L12" s="46"/>
      <c r="M12" s="7"/>
      <c r="N12" s="46">
        <v>10</v>
      </c>
    </row>
    <row r="13" spans="1:14">
      <c r="A13" s="8" t="s">
        <v>366</v>
      </c>
      <c r="B13" s="8" t="s">
        <v>320</v>
      </c>
      <c r="C13" s="8"/>
      <c r="D13" s="8"/>
      <c r="E13" s="8" t="s">
        <v>367</v>
      </c>
      <c r="F13" s="8"/>
      <c r="G13" s="8" t="s">
        <v>98</v>
      </c>
      <c r="H13" s="8"/>
      <c r="I13" s="8"/>
      <c r="J13" s="8"/>
      <c r="K13" s="8" t="s">
        <v>368</v>
      </c>
      <c r="L13" s="46"/>
      <c r="M13" s="7"/>
      <c r="N13" s="46">
        <v>11</v>
      </c>
    </row>
    <row r="14" spans="1:14">
      <c r="A14" s="8" t="s">
        <v>371</v>
      </c>
      <c r="B14" s="8" t="s">
        <v>320</v>
      </c>
      <c r="C14" s="8"/>
      <c r="D14" s="8"/>
      <c r="E14" s="8" t="s">
        <v>367</v>
      </c>
      <c r="F14" s="8"/>
      <c r="G14" s="8" t="s">
        <v>98</v>
      </c>
      <c r="H14" s="8"/>
      <c r="I14" s="8"/>
      <c r="J14" s="8"/>
      <c r="K14" s="8" t="s">
        <v>368</v>
      </c>
      <c r="L14" s="46"/>
      <c r="M14" s="7"/>
      <c r="N14" s="46">
        <v>12</v>
      </c>
    </row>
    <row r="15" spans="1:14">
      <c r="A15" s="8" t="s">
        <v>374</v>
      </c>
      <c r="B15" s="8" t="s">
        <v>320</v>
      </c>
      <c r="C15" s="8"/>
      <c r="D15" s="8"/>
      <c r="E15" s="8" t="s">
        <v>351</v>
      </c>
      <c r="F15" s="8">
        <v>100</v>
      </c>
      <c r="G15" s="8" t="s">
        <v>98</v>
      </c>
      <c r="H15" s="8"/>
      <c r="I15" s="8"/>
      <c r="J15" s="8"/>
      <c r="K15" s="8" t="s">
        <v>327</v>
      </c>
      <c r="L15" s="46"/>
      <c r="M15" s="7"/>
      <c r="N15" s="46">
        <v>13</v>
      </c>
    </row>
    <row r="18" spans="1:1">
      <c r="A18" s="40" t="s">
        <v>3681</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tabColor rgb="FFFF0000"/>
  </sheetPr>
  <dimension ref="A1:L29"/>
  <sheetViews>
    <sheetView workbookViewId="0">
      <selection activeCell="A10" sqref="A10"/>
    </sheetView>
  </sheetViews>
  <sheetFormatPr defaultRowHeight="14.45"/>
  <cols>
    <col min="1" max="1" width="25.7109375" customWidth="1"/>
    <col min="2" max="4" width="20.7109375" customWidth="1"/>
    <col min="5" max="7" width="15.7109375" customWidth="1"/>
    <col min="8" max="8" width="43.28515625" customWidth="1"/>
    <col min="9" max="12" width="20.7109375" customWidth="1"/>
  </cols>
  <sheetData>
    <row r="1" spans="1:12" ht="60" customHeight="1">
      <c r="A1" s="1" t="s">
        <v>277</v>
      </c>
      <c r="D1" s="2" t="s">
        <v>297</v>
      </c>
      <c r="I1" s="3" t="s">
        <v>298</v>
      </c>
      <c r="J1" s="4" t="s">
        <v>299</v>
      </c>
      <c r="K1" s="19" t="s">
        <v>300</v>
      </c>
      <c r="L1" s="23" t="s">
        <v>301</v>
      </c>
    </row>
    <row r="2" spans="1:12">
      <c r="A2" s="5" t="s">
        <v>302</v>
      </c>
      <c r="B2" s="5" t="s">
        <v>85</v>
      </c>
      <c r="C2" s="5" t="s">
        <v>305</v>
      </c>
      <c r="D2" s="5" t="s">
        <v>306</v>
      </c>
      <c r="E2" s="5" t="s">
        <v>307</v>
      </c>
      <c r="F2" s="5" t="s">
        <v>308</v>
      </c>
      <c r="G2" s="5" t="s">
        <v>309</v>
      </c>
      <c r="H2" s="5" t="s">
        <v>310</v>
      </c>
      <c r="I2" s="5" t="s">
        <v>311</v>
      </c>
      <c r="J2" s="5" t="s">
        <v>90</v>
      </c>
      <c r="K2" s="5" t="s">
        <v>312</v>
      </c>
    </row>
    <row r="3" spans="1:12">
      <c r="A3" s="6" t="s">
        <v>3682</v>
      </c>
      <c r="B3" s="6" t="s">
        <v>320</v>
      </c>
      <c r="C3" s="6"/>
      <c r="D3" s="6"/>
      <c r="E3" s="6" t="s">
        <v>319</v>
      </c>
      <c r="F3" s="6"/>
      <c r="G3" s="6" t="s">
        <v>98</v>
      </c>
      <c r="H3" s="6" t="s">
        <v>3683</v>
      </c>
      <c r="I3" s="6"/>
      <c r="J3" s="6"/>
      <c r="K3" s="6">
        <v>-1</v>
      </c>
    </row>
    <row r="4" spans="1:12">
      <c r="A4" s="9" t="s">
        <v>3684</v>
      </c>
      <c r="B4" s="9" t="s">
        <v>12</v>
      </c>
      <c r="C4" s="9" t="s">
        <v>3685</v>
      </c>
      <c r="D4" s="9" t="s">
        <v>3686</v>
      </c>
      <c r="E4" s="9" t="s">
        <v>351</v>
      </c>
      <c r="F4" s="9">
        <v>50</v>
      </c>
      <c r="G4" s="9" t="s">
        <v>98</v>
      </c>
      <c r="H4" s="9"/>
      <c r="I4" s="9"/>
      <c r="J4" s="9"/>
      <c r="K4" s="9" t="s">
        <v>327</v>
      </c>
    </row>
    <row r="5" spans="1:12">
      <c r="A5" s="9" t="s">
        <v>487</v>
      </c>
      <c r="B5" s="9" t="s">
        <v>21</v>
      </c>
      <c r="C5" s="9" t="s">
        <v>3685</v>
      </c>
      <c r="D5" s="9" t="s">
        <v>488</v>
      </c>
      <c r="E5" s="9" t="s">
        <v>351</v>
      </c>
      <c r="F5" s="9">
        <v>5</v>
      </c>
      <c r="G5" s="9" t="s">
        <v>98</v>
      </c>
      <c r="H5" s="70"/>
      <c r="I5" s="9"/>
      <c r="J5" s="9"/>
      <c r="K5" s="9" t="s">
        <v>327</v>
      </c>
    </row>
    <row r="6" spans="1:12">
      <c r="A6" s="22" t="s">
        <v>1103</v>
      </c>
      <c r="B6" s="22" t="s">
        <v>12</v>
      </c>
      <c r="C6" s="22" t="s">
        <v>3685</v>
      </c>
      <c r="D6" s="22" t="s">
        <v>3687</v>
      </c>
      <c r="E6" s="22" t="s">
        <v>431</v>
      </c>
      <c r="F6" s="22"/>
      <c r="G6" s="22" t="s">
        <v>98</v>
      </c>
      <c r="H6" s="22" t="s">
        <v>3688</v>
      </c>
      <c r="I6" s="22"/>
      <c r="J6" s="22"/>
      <c r="K6" s="22">
        <v>-1</v>
      </c>
    </row>
    <row r="7" spans="1:12">
      <c r="A7" s="7" t="s">
        <v>3689</v>
      </c>
      <c r="B7" s="7" t="s">
        <v>12</v>
      </c>
      <c r="C7" s="7" t="s">
        <v>278</v>
      </c>
      <c r="D7" s="7" t="s">
        <v>3690</v>
      </c>
      <c r="E7" s="7" t="s">
        <v>431</v>
      </c>
      <c r="F7" s="7"/>
      <c r="G7" s="7" t="s">
        <v>74</v>
      </c>
      <c r="H7" s="7" t="s">
        <v>3691</v>
      </c>
      <c r="I7" s="7"/>
      <c r="J7" s="7" t="s">
        <v>942</v>
      </c>
      <c r="K7" s="7">
        <v>-1</v>
      </c>
    </row>
    <row r="8" spans="1:12">
      <c r="A8" s="7" t="s">
        <v>3692</v>
      </c>
      <c r="B8" s="7" t="s">
        <v>12</v>
      </c>
      <c r="C8" s="7" t="s">
        <v>3685</v>
      </c>
      <c r="D8" s="7" t="s">
        <v>3</v>
      </c>
      <c r="E8" s="7" t="s">
        <v>351</v>
      </c>
      <c r="F8" s="7">
        <v>100</v>
      </c>
      <c r="G8" s="7" t="s">
        <v>74</v>
      </c>
      <c r="H8" s="7"/>
      <c r="I8" s="7"/>
      <c r="J8" s="7"/>
      <c r="K8" s="7" t="s">
        <v>327</v>
      </c>
    </row>
    <row r="9" spans="1:12">
      <c r="A9" s="7" t="s">
        <v>345</v>
      </c>
      <c r="B9" s="7" t="s">
        <v>12</v>
      </c>
      <c r="C9" s="7" t="s">
        <v>3685</v>
      </c>
      <c r="D9" s="7" t="s">
        <v>347</v>
      </c>
      <c r="E9" s="7" t="s">
        <v>346</v>
      </c>
      <c r="F9" s="7"/>
      <c r="G9" s="7" t="s">
        <v>98</v>
      </c>
      <c r="H9" s="7"/>
      <c r="I9" s="7"/>
      <c r="J9" s="7"/>
      <c r="K9" s="7">
        <v>-1</v>
      </c>
    </row>
    <row r="10" spans="1:12">
      <c r="A10" s="37" t="s">
        <v>1044</v>
      </c>
      <c r="B10" s="37" t="s">
        <v>12</v>
      </c>
      <c r="C10" s="37" t="s">
        <v>278</v>
      </c>
      <c r="D10" s="37" t="s">
        <v>1045</v>
      </c>
      <c r="E10" s="37" t="s">
        <v>351</v>
      </c>
      <c r="F10" s="37">
        <v>4</v>
      </c>
      <c r="G10" s="37" t="s">
        <v>74</v>
      </c>
      <c r="H10" s="37"/>
      <c r="I10" s="37"/>
      <c r="J10" s="37"/>
      <c r="K10" s="7" t="s">
        <v>327</v>
      </c>
    </row>
    <row r="11" spans="1:12">
      <c r="A11" s="8" t="s">
        <v>350</v>
      </c>
      <c r="B11" s="8" t="s">
        <v>320</v>
      </c>
      <c r="C11" s="8"/>
      <c r="D11" s="8"/>
      <c r="E11" s="8" t="s">
        <v>351</v>
      </c>
      <c r="F11" s="8">
        <v>100</v>
      </c>
      <c r="G11" s="8" t="s">
        <v>98</v>
      </c>
      <c r="H11" s="8"/>
      <c r="I11" s="8"/>
      <c r="J11" s="8"/>
      <c r="K11" s="8" t="s">
        <v>327</v>
      </c>
    </row>
    <row r="12" spans="1:12">
      <c r="A12" s="8" t="s">
        <v>354</v>
      </c>
      <c r="B12" s="8" t="s">
        <v>320</v>
      </c>
      <c r="C12" s="8"/>
      <c r="D12" s="8"/>
      <c r="E12" s="8" t="s">
        <v>351</v>
      </c>
      <c r="F12" s="8">
        <v>100</v>
      </c>
      <c r="G12" s="8" t="s">
        <v>98</v>
      </c>
      <c r="H12" s="8"/>
      <c r="I12" s="8"/>
      <c r="J12" s="8"/>
      <c r="K12" s="8" t="s">
        <v>327</v>
      </c>
    </row>
    <row r="13" spans="1:12">
      <c r="A13" s="8" t="s">
        <v>357</v>
      </c>
      <c r="B13" s="8" t="s">
        <v>320</v>
      </c>
      <c r="C13" s="8"/>
      <c r="D13" s="8"/>
      <c r="E13" s="8" t="s">
        <v>351</v>
      </c>
      <c r="F13" s="8">
        <v>100</v>
      </c>
      <c r="G13" s="8" t="s">
        <v>98</v>
      </c>
      <c r="H13" s="8"/>
      <c r="I13" s="8"/>
      <c r="J13" s="8"/>
      <c r="K13" s="8" t="s">
        <v>327</v>
      </c>
    </row>
    <row r="14" spans="1:12">
      <c r="A14" s="8" t="s">
        <v>360</v>
      </c>
      <c r="B14" s="8" t="s">
        <v>320</v>
      </c>
      <c r="C14" s="8"/>
      <c r="D14" s="8"/>
      <c r="E14" s="8" t="s">
        <v>351</v>
      </c>
      <c r="F14" s="8">
        <v>100</v>
      </c>
      <c r="G14" s="8" t="s">
        <v>98</v>
      </c>
      <c r="H14" s="8"/>
      <c r="I14" s="8"/>
      <c r="J14" s="8"/>
      <c r="K14" s="8" t="s">
        <v>327</v>
      </c>
    </row>
    <row r="15" spans="1:12">
      <c r="A15" s="8" t="s">
        <v>363</v>
      </c>
      <c r="B15" s="8" t="s">
        <v>320</v>
      </c>
      <c r="C15" s="8"/>
      <c r="D15" s="8"/>
      <c r="E15" s="8" t="s">
        <v>351</v>
      </c>
      <c r="F15" s="8">
        <v>100</v>
      </c>
      <c r="G15" s="8" t="s">
        <v>98</v>
      </c>
      <c r="H15" s="8"/>
      <c r="I15" s="8"/>
      <c r="J15" s="8"/>
      <c r="K15" s="8" t="s">
        <v>327</v>
      </c>
    </row>
    <row r="16" spans="1:12">
      <c r="A16" s="8" t="s">
        <v>366</v>
      </c>
      <c r="B16" s="8" t="s">
        <v>320</v>
      </c>
      <c r="C16" s="8"/>
      <c r="D16" s="8"/>
      <c r="E16" s="8" t="s">
        <v>367</v>
      </c>
      <c r="F16" s="8"/>
      <c r="G16" s="8" t="s">
        <v>98</v>
      </c>
      <c r="H16" s="8"/>
      <c r="I16" s="8"/>
      <c r="J16" s="8"/>
      <c r="K16" s="8" t="s">
        <v>368</v>
      </c>
    </row>
    <row r="17" spans="1:11">
      <c r="A17" s="8" t="s">
        <v>371</v>
      </c>
      <c r="B17" s="8" t="s">
        <v>320</v>
      </c>
      <c r="C17" s="8"/>
      <c r="D17" s="8"/>
      <c r="E17" s="8" t="s">
        <v>367</v>
      </c>
      <c r="F17" s="8"/>
      <c r="G17" s="8" t="s">
        <v>98</v>
      </c>
      <c r="H17" s="8"/>
      <c r="I17" s="8"/>
      <c r="J17" s="8"/>
      <c r="K17" s="8" t="s">
        <v>368</v>
      </c>
    </row>
    <row r="18" spans="1:11">
      <c r="A18" s="8" t="s">
        <v>374</v>
      </c>
      <c r="B18" s="8" t="s">
        <v>320</v>
      </c>
      <c r="C18" s="8"/>
      <c r="D18" s="8"/>
      <c r="E18" s="8" t="s">
        <v>351</v>
      </c>
      <c r="F18" s="8">
        <v>100</v>
      </c>
      <c r="G18" s="8" t="s">
        <v>98</v>
      </c>
      <c r="H18" s="8"/>
      <c r="I18" s="8"/>
      <c r="J18" s="8"/>
      <c r="K18" s="8" t="s">
        <v>327</v>
      </c>
    </row>
    <row r="21" spans="1:11">
      <c r="A21" s="40" t="s">
        <v>3693</v>
      </c>
    </row>
    <row r="22" spans="1:11">
      <c r="A22" s="40" t="s">
        <v>3694</v>
      </c>
    </row>
    <row r="23" spans="1:11">
      <c r="A23" s="40" t="s">
        <v>3695</v>
      </c>
    </row>
    <row r="24" spans="1:11">
      <c r="A24" t="s">
        <v>3696</v>
      </c>
    </row>
    <row r="28" spans="1:11">
      <c r="A28" s="21" t="s">
        <v>1698</v>
      </c>
    </row>
    <row r="29" spans="1:11">
      <c r="A29" s="35" t="s">
        <v>3697</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6A47458792AA246842FD73EC0111072" ma:contentTypeVersion="7" ma:contentTypeDescription="Create a new document." ma:contentTypeScope="" ma:versionID="e3a89266e870782c4a08491f66834a2e">
  <xsd:schema xmlns:xsd="http://www.w3.org/2001/XMLSchema" xmlns:xs="http://www.w3.org/2001/XMLSchema" xmlns:p="http://schemas.microsoft.com/office/2006/metadata/properties" xmlns:ns2="6a9b89a3-512e-4015-a9a0-fb79a74f89ed" targetNamespace="http://schemas.microsoft.com/office/2006/metadata/properties" ma:root="true" ma:fieldsID="2d9307eaedcd17292dc2db44b06acfcf" ns2:_="">
    <xsd:import namespace="6a9b89a3-512e-4015-a9a0-fb79a74f89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9b89a3-512e-4015-a9a0-fb79a74f89e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137B78C-FDA2-43CD-BC92-B93CA4B33095}"/>
</file>

<file path=customXml/itemProps2.xml><?xml version="1.0" encoding="utf-8"?>
<ds:datastoreItem xmlns:ds="http://schemas.openxmlformats.org/officeDocument/2006/customXml" ds:itemID="{58552658-A3B6-426B-AE10-06B1B12F51FC}"/>
</file>

<file path=customXml/itemProps3.xml><?xml version="1.0" encoding="utf-8"?>
<ds:datastoreItem xmlns:ds="http://schemas.openxmlformats.org/officeDocument/2006/customXml" ds:itemID="{9B9186B8-0A58-471F-9429-A0827777B18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 Morgan</dc:creator>
  <cp:keywords/>
  <dc:description/>
  <cp:lastModifiedBy/>
  <cp:revision/>
  <dcterms:created xsi:type="dcterms:W3CDTF">2026-03-31T14:26:09Z</dcterms:created>
  <dcterms:modified xsi:type="dcterms:W3CDTF">2026-07-14T14:21:12Z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0x01010056A47458792AA246842FD73EC0111072</vt:lpwstr>
  </property>
  <property fmtid="{D5CDD505-2E9C-101B-9397-08002B2CF9AE}" pid="3" name="MediaServiceImageTags">
    <vt:lpwstr/>
  </property>
</Properties>
</file>